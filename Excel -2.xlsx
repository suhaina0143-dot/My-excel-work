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bookViews>
    <workbookView xWindow="0" yWindow="0" windowWidth="14380" windowHeight="4090" activeTab="1"/>
  </bookViews>
  <sheets>
    <sheet name="STUDENTDETAILS" sheetId="1" r:id="rId1"/>
    <sheet name="COURSEFEES" sheetId="2" r:id="rId2"/>
    <sheet name="BILL" sheetId="3" r:id="rId3"/>
    <sheet name="JUICE" sheetId="4" r:id="rId4"/>
    <sheet name="SALARYBILL 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5" l="1"/>
  <c r="K13" i="5" l="1"/>
  <c r="M3" i="5"/>
  <c r="M4" i="5"/>
  <c r="M5" i="5"/>
  <c r="M6" i="5"/>
  <c r="M7" i="5"/>
  <c r="M8" i="5"/>
  <c r="M10" i="5"/>
  <c r="M11" i="5"/>
  <c r="M12" i="5"/>
  <c r="L10" i="5"/>
  <c r="K3" i="5"/>
  <c r="K4" i="5"/>
  <c r="K5" i="5"/>
  <c r="K6" i="5"/>
  <c r="K7" i="5"/>
  <c r="K8" i="5"/>
  <c r="K9" i="5"/>
  <c r="K10" i="5"/>
  <c r="K11" i="5"/>
  <c r="K12" i="5"/>
  <c r="I13" i="5"/>
  <c r="F13" i="5"/>
  <c r="I3" i="5"/>
  <c r="I4" i="5"/>
  <c r="I5" i="5"/>
  <c r="I6" i="5"/>
  <c r="I7" i="5"/>
  <c r="I8" i="5"/>
  <c r="I9" i="5"/>
  <c r="I10" i="5"/>
  <c r="I11" i="5"/>
  <c r="I12" i="5"/>
  <c r="F3" i="5"/>
  <c r="F4" i="5"/>
  <c r="F5" i="5"/>
  <c r="F6" i="5"/>
  <c r="F7" i="5"/>
  <c r="F8" i="5"/>
  <c r="F9" i="5"/>
  <c r="F10" i="5"/>
  <c r="F11" i="5"/>
  <c r="E13" i="5"/>
  <c r="E3" i="5"/>
  <c r="E4" i="5"/>
  <c r="E5" i="5"/>
  <c r="E6" i="5"/>
  <c r="E7" i="5"/>
  <c r="E8" i="5"/>
  <c r="E9" i="5"/>
  <c r="E10" i="5"/>
  <c r="E11" i="5"/>
  <c r="E12" i="5"/>
  <c r="D13" i="5"/>
  <c r="D3" i="5"/>
  <c r="L3" i="5" s="1"/>
  <c r="D4" i="5"/>
  <c r="L4" i="5" s="1"/>
  <c r="D5" i="5"/>
  <c r="L5" i="5" s="1"/>
  <c r="D6" i="5"/>
  <c r="L6" i="5" s="1"/>
  <c r="D7" i="5"/>
  <c r="L7" i="5" s="1"/>
  <c r="D8" i="5"/>
  <c r="L8" i="5" s="1"/>
  <c r="D9" i="5"/>
  <c r="D10" i="5"/>
  <c r="D11" i="5"/>
  <c r="L11" i="5" s="1"/>
  <c r="D12" i="5"/>
  <c r="L12" i="5" s="1"/>
  <c r="K2" i="5"/>
  <c r="I2" i="5"/>
  <c r="F2" i="5"/>
  <c r="E2" i="5"/>
  <c r="D2" i="5"/>
  <c r="L2" i="5" s="1"/>
  <c r="M2" i="5" s="1"/>
  <c r="B12" i="4"/>
  <c r="B10" i="4"/>
  <c r="L9" i="5" l="1"/>
  <c r="M9" i="5" s="1"/>
  <c r="L13" i="5"/>
  <c r="M13" i="5" s="1"/>
  <c r="F13" i="1"/>
  <c r="F3" i="1"/>
  <c r="F4" i="1"/>
  <c r="F5" i="1"/>
  <c r="F6" i="1"/>
  <c r="F7" i="1"/>
  <c r="F8" i="1"/>
  <c r="F9" i="1"/>
  <c r="F10" i="1"/>
  <c r="F11" i="1"/>
  <c r="F12" i="1"/>
  <c r="F2" i="1"/>
  <c r="E14" i="3"/>
  <c r="D14" i="3"/>
  <c r="D11" i="3"/>
  <c r="E3" i="3"/>
  <c r="E4" i="3"/>
  <c r="E5" i="3"/>
  <c r="E6" i="3"/>
  <c r="E7" i="3"/>
  <c r="E8" i="3"/>
  <c r="E9" i="3"/>
  <c r="E10" i="3"/>
  <c r="E11" i="3"/>
  <c r="E12" i="3"/>
  <c r="E13" i="3"/>
  <c r="D3" i="3"/>
  <c r="D4" i="3"/>
  <c r="D5" i="3"/>
  <c r="D6" i="3"/>
  <c r="D7" i="3"/>
  <c r="D8" i="3"/>
  <c r="D9" i="3"/>
  <c r="D10" i="3"/>
  <c r="D12" i="3"/>
  <c r="D13" i="3"/>
  <c r="E2" i="3"/>
  <c r="D2" i="3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2" i="1"/>
  <c r="E2" i="1" l="1"/>
</calcChain>
</file>

<file path=xl/sharedStrings.xml><?xml version="1.0" encoding="utf-8"?>
<sst xmlns="http://schemas.openxmlformats.org/spreadsheetml/2006/main" count="128" uniqueCount="104">
  <si>
    <t>ROLL NO</t>
  </si>
  <si>
    <t>STUDENT NAME</t>
  </si>
  <si>
    <t>COURSE</t>
  </si>
  <si>
    <t>TOTAL FEES</t>
  </si>
  <si>
    <t xml:space="preserve">COURSE </t>
  </si>
  <si>
    <t>FEES</t>
  </si>
  <si>
    <t>C++</t>
  </si>
  <si>
    <t>JAVA</t>
  </si>
  <si>
    <t>PYTHON</t>
  </si>
  <si>
    <t>TALLY</t>
  </si>
  <si>
    <t>MS OFFICE</t>
  </si>
  <si>
    <t>ADVANCE EXCEL</t>
  </si>
  <si>
    <t>WEB DESIGN</t>
  </si>
  <si>
    <t>DATA ANALYST</t>
  </si>
  <si>
    <t>POWERBI</t>
  </si>
  <si>
    <t>PHP</t>
  </si>
  <si>
    <t>MYSQL</t>
  </si>
  <si>
    <t>SANJAI</t>
  </si>
  <si>
    <t>RAMYA</t>
  </si>
  <si>
    <t>SANGAVI</t>
  </si>
  <si>
    <t>BHUVI</t>
  </si>
  <si>
    <t>DHARANI</t>
  </si>
  <si>
    <t>JEGATHISH</t>
  </si>
  <si>
    <t>RAHUL</t>
  </si>
  <si>
    <t>GAYATHRI</t>
  </si>
  <si>
    <t>BOOMIKA</t>
  </si>
  <si>
    <t>SUHAINA</t>
  </si>
  <si>
    <t>NOT FOUND</t>
  </si>
  <si>
    <t>ERROR/CORRECT</t>
  </si>
  <si>
    <t>DEVELOPER</t>
  </si>
  <si>
    <t>KOWSI</t>
  </si>
  <si>
    <t>HARINI</t>
  </si>
  <si>
    <t>DIGITAL MARKETING</t>
  </si>
  <si>
    <t>PAID FEES</t>
  </si>
  <si>
    <t>BILL NO</t>
  </si>
  <si>
    <t>BILL DATE</t>
  </si>
  <si>
    <t>PAID FESS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</si>
  <si>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</si>
  <si>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</si>
  <si>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</si>
  <si>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</si>
  <si>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</si>
  <si>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</si>
  <si>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</si>
  <si>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</si>
  <si>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</si>
  <si>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</si>
  <si>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</si>
  <si>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</si>
  <si>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</si>
  <si>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JUICE NAME:</t>
  </si>
  <si>
    <t>PRICE:</t>
  </si>
  <si>
    <t>APPLE</t>
  </si>
  <si>
    <t>ORANGE</t>
  </si>
  <si>
    <t>SUGAR CANE</t>
  </si>
  <si>
    <t>GRAPS</t>
  </si>
  <si>
    <t>LEMON</t>
  </si>
  <si>
    <t>WATERMELON</t>
  </si>
  <si>
    <t>ENTER JUICE NAME:</t>
  </si>
  <si>
    <t>POMEGRANATE</t>
  </si>
  <si>
    <t>BENEFITS:</t>
  </si>
  <si>
    <t>NO DOCTOR</t>
  </si>
  <si>
    <t>HP LEVEL INCREASE</t>
  </si>
  <si>
    <t>HEAT REDUCE</t>
  </si>
  <si>
    <t>MORE ENERGY</t>
  </si>
  <si>
    <t>BLOOD INCREASE</t>
  </si>
  <si>
    <t>COOLING BODY</t>
  </si>
  <si>
    <t>VITAMIN C</t>
  </si>
  <si>
    <t>BENEFITS</t>
  </si>
  <si>
    <t>ma 5%</t>
  </si>
  <si>
    <t>ta 6%</t>
  </si>
  <si>
    <t>hra 10%</t>
  </si>
  <si>
    <t>LOP</t>
  </si>
  <si>
    <t>OT</t>
  </si>
  <si>
    <t>PF 12%</t>
  </si>
  <si>
    <t>LONE</t>
  </si>
  <si>
    <t>esi 1%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</si>
  <si>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</si>
  <si>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</si>
  <si>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</si>
  <si>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</si>
  <si>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</si>
  <si>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</si>
  <si>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</si>
  <si>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</si>
  <si>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</si>
  <si>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</si>
  <si>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</si>
  <si>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</si>
  <si>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ABI</t>
  </si>
  <si>
    <t>SARAN</t>
  </si>
  <si>
    <t>KAVIYA</t>
  </si>
  <si>
    <t>KUMAR</t>
  </si>
  <si>
    <t>PRIYA</t>
  </si>
  <si>
    <t>KAVIN</t>
  </si>
  <si>
    <t>GROSS SALARY:</t>
  </si>
  <si>
    <t>BS+MA+TA+HRA+OT-LOP-LOAN-ESI</t>
  </si>
  <si>
    <t>NET SALARY</t>
  </si>
  <si>
    <t>GROSS-PF</t>
  </si>
  <si>
    <t>NET SALARY:</t>
  </si>
  <si>
    <t>GROSS</t>
  </si>
  <si>
    <t>BASIC SALARY</t>
  </si>
  <si>
    <t>ENAME</t>
  </si>
  <si>
    <t>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</si>
</sst>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3" name="Table3" displayName="Table3" ref="A1:M13" totalsRowShown="0" headerRowDxfId="14" dataDxfId="13">
  <autoFilter ref="A1:M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ENO" dataDxfId="12"/>
    <tableColumn id="2" name="ENAME" dataDxfId="11"/>
    <tableColumn id="3" name="BASIC SALARY" dataDxfId="10"/>
    <tableColumn id="4" name="ma 5%" dataDxfId="9">
      <calculatedColumnFormula>C2*5/100</calculatedColumnFormula>
    </tableColumn>
    <tableColumn id="5" name="ta 6%" dataDxfId="8">
      <calculatedColumnFormula>C2*6/100</calculatedColumnFormula>
    </tableColumn>
    <tableColumn id="6" name="hra 10%" dataDxfId="7">
      <calculatedColumnFormula>C2*10/100</calculatedColumnFormula>
    </tableColumn>
    <tableColumn id="7" name="LOP" dataDxfId="6"/>
    <tableColumn id="8" name="OT" dataDxfId="5"/>
    <tableColumn id="9" name="PF 12%" dataDxfId="4">
      <calculatedColumnFormula>C2*12/100</calculatedColumnFormula>
    </tableColumn>
    <tableColumn id="10" name="LONE" dataDxfId="3"/>
    <tableColumn id="11" name="esi 1%" dataDxfId="2">
      <calculatedColumnFormula>C2*1/100</calculatedColumnFormula>
    </tableColumn>
    <tableColumn id="12" name="GROSS" dataDxfId="1">
      <calculatedColumnFormula>SUM(C2+D2+E2+F2+H2-G2-J2-K2)</calculatedColumnFormula>
    </tableColumn>
    <tableColumn id="13" name="NET SALARY" dataDxfId="0">
      <calculatedColumnFormula>SUM(L2-I2)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12" sqref="B12"/>
    </sheetView>
  </sheetViews>
  <sheetFormatPr defaultRowHeight="14.5" x14ac:dyDescent="0.35"/>
  <cols>
    <col min="1" max="1" width="13.08984375" style="1" customWidth="1"/>
    <col min="2" max="2" width="22.7265625" style="1" customWidth="1"/>
    <col min="3" max="3" width="23.08984375" style="1" customWidth="1"/>
    <col min="4" max="4" width="15" style="1" customWidth="1"/>
    <col min="5" max="5" width="15.08984375" style="1" hidden="1" customWidth="1"/>
    <col min="6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33</v>
      </c>
    </row>
    <row r="2" spans="1:6" x14ac:dyDescent="0.35">
      <c r="A2" s="1">
        <v>10001</v>
      </c>
      <c r="B2" s="1" t="s">
        <v>17</v>
      </c>
      <c r="C2" s="1" t="s">
        <v>9</v>
      </c>
      <c r="D2" s="1">
        <f>IFERROR(VLOOKUP(C2,COURSEFEES!A:B,2,FALSE),"NOT FOUND")</f>
        <v>30000</v>
      </c>
      <c r="E2" s="1">
        <f>IFERROR(D2,"NOT FOUND")</f>
        <v>30000</v>
      </c>
      <c r="F2" s="1">
        <f>SUMIF(BILL!C:C,A2,BILL!F:F)</f>
        <v>1000</v>
      </c>
    </row>
    <row r="3" spans="1:6" x14ac:dyDescent="0.35">
      <c r="A3" s="1">
        <v>10002</v>
      </c>
      <c r="B3" s="1" t="s">
        <v>18</v>
      </c>
      <c r="C3" s="1" t="s">
        <v>7</v>
      </c>
      <c r="D3" s="1">
        <f>IFERROR(VLOOKUP(C3,COURSEFEES!A:B,2,FALSE),"NOT FOUND")</f>
        <v>10000</v>
      </c>
      <c r="E3" s="1">
        <f t="shared" ref="E3:E13" si="0">IFERROR(D3,"NOT FOUND")</f>
        <v>10000</v>
      </c>
      <c r="F3" s="1">
        <f>SUMIF(BILL!C:C,A3,BILL!F:F)</f>
        <v>5000</v>
      </c>
    </row>
    <row r="4" spans="1:6" x14ac:dyDescent="0.35">
      <c r="A4" s="1">
        <v>10003</v>
      </c>
      <c r="B4" s="1" t="s">
        <v>19</v>
      </c>
      <c r="C4" s="1" t="s">
        <v>6</v>
      </c>
      <c r="D4" s="1">
        <f>IFERROR(VLOOKUP(C4,COURSEFEES!A:B,2,FALSE),"NOT FOUND")</f>
        <v>15000</v>
      </c>
      <c r="E4" s="1">
        <f t="shared" si="0"/>
        <v>15000</v>
      </c>
      <c r="F4" s="1">
        <f>SUMIF(BILL!C:C,A4,BILL!F:F)</f>
        <v>3000</v>
      </c>
    </row>
    <row r="5" spans="1:6" x14ac:dyDescent="0.35">
      <c r="A5" s="1">
        <v>10004</v>
      </c>
      <c r="B5" s="1" t="s">
        <v>20</v>
      </c>
      <c r="C5" s="1" t="s">
        <v>13</v>
      </c>
      <c r="D5" s="1">
        <f>IFERROR(VLOOKUP(C5,COURSEFEES!A:B,2,FALSE),"NOT FOUND")</f>
        <v>12000</v>
      </c>
      <c r="E5" s="1">
        <f t="shared" si="0"/>
        <v>12000</v>
      </c>
      <c r="F5" s="1">
        <f>SUMIF(BILL!C:C,A5,BILL!F:F)</f>
        <v>6500</v>
      </c>
    </row>
    <row r="6" spans="1:6" x14ac:dyDescent="0.35">
      <c r="A6" s="1">
        <v>10005</v>
      </c>
      <c r="B6" s="1" t="s">
        <v>21</v>
      </c>
      <c r="C6" s="1" t="s">
        <v>14</v>
      </c>
      <c r="D6" s="1">
        <f>IFERROR(VLOOKUP(C6,COURSEFEES!A:B,2,FALSE),"NOT FOUND")</f>
        <v>17000</v>
      </c>
      <c r="E6" s="1">
        <f t="shared" si="0"/>
        <v>17000</v>
      </c>
      <c r="F6" s="1">
        <f>SUMIF(BILL!C:C,A6,BILL!F:F)</f>
        <v>7000</v>
      </c>
    </row>
    <row r="7" spans="1:6" x14ac:dyDescent="0.35">
      <c r="A7" s="1">
        <v>10006</v>
      </c>
      <c r="B7" s="1" t="s">
        <v>22</v>
      </c>
      <c r="C7" s="1" t="s">
        <v>15</v>
      </c>
      <c r="D7" s="1">
        <f>IFERROR(VLOOKUP(C7,COURSEFEES!A:B,2,FALSE),"NOT FOUND")</f>
        <v>11500</v>
      </c>
      <c r="E7" s="1">
        <f t="shared" si="0"/>
        <v>11500</v>
      </c>
      <c r="F7" s="1">
        <f>SUMIF(BILL!C:C,A7,BILL!F:F)</f>
        <v>1500</v>
      </c>
    </row>
    <row r="8" spans="1:6" x14ac:dyDescent="0.35">
      <c r="A8" s="1">
        <v>10007</v>
      </c>
      <c r="B8" s="1" t="s">
        <v>23</v>
      </c>
      <c r="C8" s="1" t="s">
        <v>16</v>
      </c>
      <c r="D8" s="1">
        <f>IFERROR(VLOOKUP(C8,COURSEFEES!A:B,2,FALSE),"NOT FOUND")</f>
        <v>18000</v>
      </c>
      <c r="E8" s="1">
        <f t="shared" si="0"/>
        <v>18000</v>
      </c>
      <c r="F8" s="1">
        <f>SUMIF(BILL!C:C,A8,BILL!F:F)</f>
        <v>3500</v>
      </c>
    </row>
    <row r="9" spans="1:6" x14ac:dyDescent="0.35">
      <c r="A9" s="1">
        <v>10008</v>
      </c>
      <c r="B9" s="1" t="s">
        <v>24</v>
      </c>
      <c r="C9" s="1" t="s">
        <v>8</v>
      </c>
      <c r="D9" s="1">
        <f>IFERROR(VLOOKUP(C9,COURSEFEES!A:B,2,FALSE),"NOT FOUND")</f>
        <v>25000</v>
      </c>
      <c r="E9" s="1">
        <f t="shared" si="0"/>
        <v>25000</v>
      </c>
      <c r="F9" s="1">
        <f>SUMIF(BILL!C:C,A9,BILL!F:F)</f>
        <v>5600</v>
      </c>
    </row>
    <row r="10" spans="1:6" x14ac:dyDescent="0.35">
      <c r="A10" s="1">
        <v>10009</v>
      </c>
      <c r="B10" s="1" t="s">
        <v>25</v>
      </c>
      <c r="C10" s="1" t="s">
        <v>12</v>
      </c>
      <c r="D10" s="1">
        <f>IFERROR(VLOOKUP(C10,COURSEFEES!A:B,2,FALSE),"NOT FOUND")</f>
        <v>8600</v>
      </c>
      <c r="E10" s="1">
        <f t="shared" si="0"/>
        <v>8600</v>
      </c>
      <c r="F10" s="1">
        <f>SUMIF(BILL!C:C,A10,BILL!F:F)</f>
        <v>6000</v>
      </c>
    </row>
    <row r="11" spans="1:6" x14ac:dyDescent="0.35">
      <c r="A11" s="1">
        <v>10010</v>
      </c>
      <c r="B11" s="1" t="s">
        <v>26</v>
      </c>
      <c r="C11" s="1" t="s">
        <v>11</v>
      </c>
      <c r="D11" s="1">
        <f>IFERROR(VLOOKUP(C11,COURSEFEES!A:B,2,FALSE),"NOT FOUND")</f>
        <v>13500</v>
      </c>
      <c r="E11" s="1">
        <f t="shared" si="0"/>
        <v>13500</v>
      </c>
      <c r="F11" s="1">
        <f>SUMIF(BILL!C:C,A11,BILL!F:F)</f>
        <v>0</v>
      </c>
    </row>
    <row r="12" spans="1:6" x14ac:dyDescent="0.35">
      <c r="A12" s="1">
        <v>10011</v>
      </c>
      <c r="B12" s="1" t="s">
        <v>30</v>
      </c>
      <c r="C12" s="1" t="s">
        <v>29</v>
      </c>
      <c r="D12" s="1">
        <f>IFERROR(VLOOKUP(C12,COURSEFEES!A:B,2,FALSE),"NOT FOUND")</f>
        <v>35000</v>
      </c>
      <c r="E12" s="1">
        <f t="shared" si="0"/>
        <v>35000</v>
      </c>
      <c r="F12" s="1">
        <f>SUMIF(BILL!C:C,A12,BILL!F:F)</f>
        <v>6100</v>
      </c>
    </row>
    <row r="13" spans="1:6" x14ac:dyDescent="0.35">
      <c r="A13" s="1">
        <v>10012</v>
      </c>
      <c r="B13" s="1" t="s">
        <v>31</v>
      </c>
      <c r="C13" s="1" t="s">
        <v>32</v>
      </c>
      <c r="D13" s="1">
        <f>IFERROR(VLOOKUP(C13,COURSEFEES!A:B,2,FALSE),"NOT FOUND")</f>
        <v>40000</v>
      </c>
      <c r="E13" s="1">
        <f t="shared" si="0"/>
        <v>40000</v>
      </c>
      <c r="F13" s="1">
        <f>SUMIF(BILL!C:C,A13,BILL!F:F)</f>
        <v>2900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A15" sqref="A15"/>
    </sheetView>
  </sheetViews>
  <sheetFormatPr defaultRowHeight="14.5" x14ac:dyDescent="0.35"/>
  <cols>
    <col min="1" max="1" width="19.7265625" style="1" customWidth="1"/>
    <col min="2" max="2" width="12.1796875" style="1" customWidth="1"/>
    <col min="3" max="3" width="16.54296875" style="1" customWidth="1"/>
    <col min="4" max="4" width="20.453125" style="1" customWidth="1"/>
    <col min="5" max="16384" width="8.7265625" style="1"/>
  </cols>
  <sheetData>
    <row r="1" spans="1:4" x14ac:dyDescent="0.35">
      <c r="A1" s="1" t="s">
        <v>4</v>
      </c>
      <c r="B1" s="1" t="s">
        <v>5</v>
      </c>
      <c r="C1" s="1" t="s">
        <v>28</v>
      </c>
      <c r="D1" s="1" t="s">
        <v>27</v>
      </c>
    </row>
    <row r="2" spans="1:4" x14ac:dyDescent="0.35">
      <c r="A2" s="1" t="s">
        <v>6</v>
      </c>
      <c r="B2" s="1">
        <v>15000</v>
      </c>
    </row>
    <row r="3" spans="1:4" x14ac:dyDescent="0.35">
      <c r="A3" s="1" t="s">
        <v>7</v>
      </c>
      <c r="B3" s="1">
        <v>10000</v>
      </c>
    </row>
    <row r="4" spans="1:4" x14ac:dyDescent="0.35">
      <c r="A4" s="1" t="s">
        <v>8</v>
      </c>
      <c r="B4" s="1">
        <v>25000</v>
      </c>
    </row>
    <row r="5" spans="1:4" x14ac:dyDescent="0.35">
      <c r="A5" s="1" t="s">
        <v>9</v>
      </c>
      <c r="B5" s="1">
        <v>30000</v>
      </c>
    </row>
    <row r="6" spans="1:4" x14ac:dyDescent="0.35">
      <c r="A6" s="1" t="s">
        <v>10</v>
      </c>
      <c r="B6" s="1">
        <v>9000</v>
      </c>
    </row>
    <row r="7" spans="1:4" x14ac:dyDescent="0.35">
      <c r="A7" s="1" t="s">
        <v>11</v>
      </c>
      <c r="B7" s="1">
        <v>13500</v>
      </c>
    </row>
    <row r="8" spans="1:4" x14ac:dyDescent="0.35">
      <c r="A8" s="1" t="s">
        <v>12</v>
      </c>
      <c r="B8" s="1">
        <v>8600</v>
      </c>
    </row>
    <row r="9" spans="1:4" x14ac:dyDescent="0.35">
      <c r="A9" s="1" t="s">
        <v>13</v>
      </c>
      <c r="B9" s="1">
        <v>12000</v>
      </c>
    </row>
    <row r="10" spans="1:4" x14ac:dyDescent="0.35">
      <c r="A10" s="1" t="s">
        <v>14</v>
      </c>
      <c r="B10" s="1">
        <v>17000</v>
      </c>
    </row>
    <row r="11" spans="1:4" x14ac:dyDescent="0.35">
      <c r="A11" s="1" t="s">
        <v>15</v>
      </c>
      <c r="B11" s="1">
        <v>11500</v>
      </c>
    </row>
    <row r="12" spans="1:4" x14ac:dyDescent="0.35">
      <c r="A12" s="1" t="s">
        <v>16</v>
      </c>
      <c r="B12" s="1">
        <v>18000</v>
      </c>
    </row>
    <row r="13" spans="1:4" x14ac:dyDescent="0.35">
      <c r="A13" s="1" t="s">
        <v>29</v>
      </c>
      <c r="B13" s="1">
        <v>35000</v>
      </c>
    </row>
    <row r="14" spans="1:4" x14ac:dyDescent="0.35">
      <c r="A14" s="1" t="s">
        <v>32</v>
      </c>
      <c r="B14" s="1">
        <v>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2" sqref="F2"/>
    </sheetView>
  </sheetViews>
  <sheetFormatPr defaultRowHeight="14.5" x14ac:dyDescent="0.35"/>
  <cols>
    <col min="1" max="1" width="15.08984375" style="1" customWidth="1"/>
    <col min="2" max="2" width="16" style="1" customWidth="1"/>
    <col min="3" max="3" width="17.08984375" style="1" customWidth="1"/>
    <col min="4" max="4" width="21.81640625" style="1" customWidth="1"/>
    <col min="5" max="5" width="23.08984375" style="1" customWidth="1"/>
    <col min="6" max="6" width="18.6328125" style="1" customWidth="1"/>
    <col min="7" max="16384" width="8.7265625" style="1"/>
  </cols>
  <sheetData>
    <row r="1" spans="1:6" x14ac:dyDescent="0.35">
      <c r="A1" s="1" t="s">
        <v>34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36</v>
      </c>
    </row>
    <row r="2" spans="1:6" x14ac:dyDescent="0.35">
      <c r="A2" s="1" t="s">
        <v>37</v>
      </c>
      <c r="B2" s="2">
        <v>45669</v>
      </c>
      <c r="C2" s="1">
        <v>10001</v>
      </c>
      <c r="D2" s="1" t="str">
        <f>VLOOKUP(C2,STUDENTDETAILS!A:B,2,FALSE)</f>
        <v>SANJAI</v>
      </c>
      <c r="E2" s="1" t="str">
        <f>VLOOKUP(C2,STUDENTDETAILS!A:C,3,FALSE)</f>
        <v>TALLY</v>
      </c>
      <c r="F2" s="1">
        <v>1000</v>
      </c>
    </row>
    <row r="3" spans="1:6" x14ac:dyDescent="0.35">
      <c r="A3" s="1" t="s">
        <v>38</v>
      </c>
      <c r="B3" s="2">
        <v>45700</v>
      </c>
      <c r="C3" s="1">
        <v>10002</v>
      </c>
      <c r="D3" s="1" t="str">
        <f>VLOOKUP(C3,STUDENTDETAILS!A:B,2,FALSE)</f>
        <v>RAMYA</v>
      </c>
      <c r="E3" s="1" t="str">
        <f>VLOOKUP(C3,STUDENTDETAILS!A:C,3,FALSE)</f>
        <v>JAVA</v>
      </c>
      <c r="F3" s="1">
        <v>5000</v>
      </c>
    </row>
    <row r="4" spans="1:6" x14ac:dyDescent="0.35">
      <c r="A4" s="1" t="s">
        <v>39</v>
      </c>
      <c r="B4" s="2">
        <v>45728</v>
      </c>
      <c r="C4" s="1">
        <v>10003</v>
      </c>
      <c r="D4" s="1" t="str">
        <f>VLOOKUP(C4,STUDENTDETAILS!A:B,2,FALSE)</f>
        <v>SANGAVI</v>
      </c>
      <c r="E4" s="1" t="str">
        <f>VLOOKUP(C4,STUDENTDETAILS!A:C,3,FALSE)</f>
        <v>C++</v>
      </c>
      <c r="F4" s="1">
        <v>3000</v>
      </c>
    </row>
    <row r="5" spans="1:6" x14ac:dyDescent="0.35">
      <c r="A5" s="1" t="s">
        <v>40</v>
      </c>
      <c r="B5" s="2">
        <v>45759</v>
      </c>
      <c r="C5" s="1">
        <v>10004</v>
      </c>
      <c r="D5" s="1" t="str">
        <f>VLOOKUP(C5,STUDENTDETAILS!A:B,2,FALSE)</f>
        <v>BHUVI</v>
      </c>
      <c r="E5" s="1" t="str">
        <f>VLOOKUP(C5,STUDENTDETAILS!A:C,3,FALSE)</f>
        <v>DATA ANALYST</v>
      </c>
      <c r="F5" s="1">
        <v>6500</v>
      </c>
    </row>
    <row r="6" spans="1:6" x14ac:dyDescent="0.35">
      <c r="A6" s="1" t="s">
        <v>41</v>
      </c>
      <c r="B6" s="2">
        <v>45789</v>
      </c>
      <c r="C6" s="1">
        <v>10005</v>
      </c>
      <c r="D6" s="1" t="str">
        <f>VLOOKUP(C6,STUDENTDETAILS!A:B,2,FALSE)</f>
        <v>DHARANI</v>
      </c>
      <c r="E6" s="1" t="str">
        <f>VLOOKUP(C6,STUDENTDETAILS!A:C,3,FALSE)</f>
        <v>POWERBI</v>
      </c>
      <c r="F6" s="1">
        <v>7000</v>
      </c>
    </row>
    <row r="7" spans="1:6" x14ac:dyDescent="0.35">
      <c r="A7" s="1" t="s">
        <v>42</v>
      </c>
      <c r="B7" s="2">
        <v>45820</v>
      </c>
      <c r="C7" s="1">
        <v>10006</v>
      </c>
      <c r="D7" s="1" t="str">
        <f>VLOOKUP(C7,STUDENTDETAILS!A:B,2,FALSE)</f>
        <v>JEGATHISH</v>
      </c>
      <c r="E7" s="1" t="str">
        <f>VLOOKUP(C7,STUDENTDETAILS!A:C,3,FALSE)</f>
        <v>PHP</v>
      </c>
      <c r="F7" s="1">
        <v>1500</v>
      </c>
    </row>
    <row r="8" spans="1:6" x14ac:dyDescent="0.35">
      <c r="A8" s="1" t="s">
        <v>43</v>
      </c>
      <c r="B8" s="2">
        <v>45850</v>
      </c>
      <c r="C8" s="1">
        <v>10007</v>
      </c>
      <c r="D8" s="1" t="str">
        <f>VLOOKUP(C8,STUDENTDETAILS!A:B,2,FALSE)</f>
        <v>RAHUL</v>
      </c>
      <c r="E8" s="1" t="str">
        <f>VLOOKUP(C8,STUDENTDETAILS!A:C,3,FALSE)</f>
        <v>MYSQL</v>
      </c>
      <c r="F8" s="1">
        <v>3500</v>
      </c>
    </row>
    <row r="9" spans="1:6" x14ac:dyDescent="0.35">
      <c r="A9" s="1" t="s">
        <v>44</v>
      </c>
      <c r="B9" s="2">
        <v>45881</v>
      </c>
      <c r="C9" s="1">
        <v>10008</v>
      </c>
      <c r="D9" s="1" t="str">
        <f>VLOOKUP(C9,STUDENTDETAILS!A:B,2,FALSE)</f>
        <v>GAYATHRI</v>
      </c>
      <c r="E9" s="1" t="str">
        <f>VLOOKUP(C9,STUDENTDETAILS!A:C,3,FALSE)</f>
        <v>PYTHON</v>
      </c>
      <c r="F9" s="1">
        <v>5600</v>
      </c>
    </row>
    <row r="10" spans="1:6" x14ac:dyDescent="0.35">
      <c r="A10" s="1" t="s">
        <v>45</v>
      </c>
      <c r="B10" s="2">
        <v>45912</v>
      </c>
      <c r="C10" s="1">
        <v>10009</v>
      </c>
      <c r="D10" s="1" t="str">
        <f>VLOOKUP(C10,STUDENTDETAILS!A:B,2,FALSE)</f>
        <v>BOOMIKA</v>
      </c>
      <c r="E10" s="1" t="str">
        <f>VLOOKUP(C10,STUDENTDETAILS!A:C,3,FALSE)</f>
        <v>WEB DESIGN</v>
      </c>
      <c r="F10" s="1">
        <v>4000</v>
      </c>
    </row>
    <row r="11" spans="1:6" x14ac:dyDescent="0.35">
      <c r="A11" s="1" t="s">
        <v>46</v>
      </c>
      <c r="B11" s="2">
        <v>45912</v>
      </c>
      <c r="C11" s="1">
        <v>10009</v>
      </c>
      <c r="D11" s="1" t="str">
        <f>VLOOKUP(C11,STUDENTDETAILS!A:B,2,FALSE)</f>
        <v>BOOMIKA</v>
      </c>
      <c r="E11" s="1" t="str">
        <f>VLOOKUP(C11,STUDENTDETAILS!A:C,3,FALSE)</f>
        <v>WEB DESIGN</v>
      </c>
      <c r="F11" s="1">
        <v>2000</v>
      </c>
    </row>
    <row r="12" spans="1:6" x14ac:dyDescent="0.35">
      <c r="A12" s="1" t="s">
        <v>47</v>
      </c>
      <c r="B12" s="2">
        <v>45973</v>
      </c>
      <c r="C12" s="1">
        <v>10011</v>
      </c>
      <c r="D12" s="1" t="str">
        <f>VLOOKUP(C12,STUDENTDETAILS!A:B,2,FALSE)</f>
        <v>KOWSI</v>
      </c>
      <c r="E12" s="1" t="str">
        <f>VLOOKUP(C12,STUDENTDETAILS!A:C,3,FALSE)</f>
        <v>DEVELOPER</v>
      </c>
      <c r="F12" s="1">
        <v>1500</v>
      </c>
    </row>
    <row r="13" spans="1:6" x14ac:dyDescent="0.35">
      <c r="A13" s="1" t="s">
        <v>48</v>
      </c>
      <c r="B13" s="2">
        <v>46003</v>
      </c>
      <c r="C13" s="1">
        <v>10012</v>
      </c>
      <c r="D13" s="1" t="str">
        <f>VLOOKUP(C13,STUDENTDETAILS!A:B,2,FALSE)</f>
        <v>HARINI</v>
      </c>
      <c r="E13" s="1" t="str">
        <f>VLOOKUP(C13,STUDENTDETAILS!A:C,3,FALSE)</f>
        <v>DIGITAL MARKETING</v>
      </c>
      <c r="F13" s="1">
        <v>2900</v>
      </c>
    </row>
    <row r="14" spans="1:6" x14ac:dyDescent="0.35">
      <c r="A14" s="1" t="s">
        <v>49</v>
      </c>
      <c r="B14" s="2">
        <v>46003</v>
      </c>
      <c r="C14" s="1">
        <v>10011</v>
      </c>
      <c r="D14" s="1" t="str">
        <f>VLOOKUP(C14,STUDENTDETAILS!A:B,2,FALSE)</f>
        <v>KOWSI</v>
      </c>
      <c r="E14" s="1" t="str">
        <f>VLOOKUP(C14,STUDENTDETAILS!A:C,3,FALSE)</f>
        <v>DEVELOPER</v>
      </c>
      <c r="F14" s="1">
        <v>4600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2"/>
  <sheetViews>
    <sheetView workbookViewId="0">
      <selection activeCell="F13" sqref="F13"/>
    </sheetView>
  </sheetViews>
  <sheetFormatPr defaultRowHeight="14.5" x14ac:dyDescent="0.35"/>
  <cols>
    <col min="1" max="1" width="17.54296875" style="1" bestFit="1" customWidth="1"/>
    <col min="2" max="2" width="8" style="1" bestFit="1" customWidth="1"/>
    <col min="3" max="4" width="8.7265625" style="1"/>
    <col min="5" max="5" width="11.54296875" style="1" bestFit="1" customWidth="1"/>
    <col min="6" max="6" width="11.08984375" style="1" bestFit="1" customWidth="1"/>
    <col min="7" max="7" width="17" style="1" bestFit="1" customWidth="1"/>
    <col min="8" max="8" width="16.6328125" style="1" customWidth="1"/>
    <col min="9" max="9" width="13.81640625" style="1" bestFit="1" customWidth="1"/>
    <col min="10" max="10" width="15.36328125" style="1" customWidth="1"/>
    <col min="11" max="11" width="12.453125" style="1" bestFit="1" customWidth="1"/>
    <col min="12" max="12" width="13.1796875" style="1" bestFit="1" customWidth="1"/>
    <col min="13" max="16384" width="8.7265625" style="1"/>
  </cols>
  <sheetData>
    <row r="2" spans="1:12" x14ac:dyDescent="0.35">
      <c r="E2" s="1" t="s">
        <v>50</v>
      </c>
      <c r="F2" s="1" t="s">
        <v>52</v>
      </c>
      <c r="G2" s="1" t="s">
        <v>59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</row>
    <row r="3" spans="1:12" x14ac:dyDescent="0.35">
      <c r="E3" s="1" t="s">
        <v>51</v>
      </c>
      <c r="F3" s="1">
        <v>75</v>
      </c>
      <c r="G3" s="1">
        <v>60</v>
      </c>
      <c r="H3" s="1">
        <v>50</v>
      </c>
      <c r="I3" s="1">
        <v>15</v>
      </c>
      <c r="J3" s="1">
        <v>40</v>
      </c>
      <c r="K3" s="1">
        <v>10</v>
      </c>
      <c r="L3" s="1">
        <v>30</v>
      </c>
    </row>
    <row r="4" spans="1:12" x14ac:dyDescent="0.35">
      <c r="E4" s="1" t="s">
        <v>60</v>
      </c>
      <c r="F4" s="1" t="s">
        <v>61</v>
      </c>
      <c r="G4" s="1" t="s">
        <v>62</v>
      </c>
      <c r="H4" s="1" t="s">
        <v>67</v>
      </c>
      <c r="I4" s="1" t="s">
        <v>66</v>
      </c>
      <c r="J4" s="1" t="s">
        <v>65</v>
      </c>
      <c r="K4" s="1" t="s">
        <v>63</v>
      </c>
      <c r="L4" s="1" t="s">
        <v>64</v>
      </c>
    </row>
    <row r="8" spans="1:12" x14ac:dyDescent="0.35">
      <c r="A8" s="1" t="s">
        <v>58</v>
      </c>
      <c r="B8" s="1" t="s">
        <v>53</v>
      </c>
    </row>
    <row r="10" spans="1:12" x14ac:dyDescent="0.35">
      <c r="A10" s="1" t="s">
        <v>51</v>
      </c>
      <c r="B10" s="1">
        <f>HLOOKUP(B8,E2:L3,2,FALSE)</f>
        <v>50</v>
      </c>
    </row>
    <row r="12" spans="1:12" x14ac:dyDescent="0.35">
      <c r="A12" s="1" t="s">
        <v>68</v>
      </c>
      <c r="B12" s="1" t="str">
        <f>HLOOKUP(B8,F2:L4,3,FALSE)</f>
        <v>VITAMIN C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D18" sqref="D18"/>
    </sheetView>
  </sheetViews>
  <sheetFormatPr defaultRowHeight="14.5" x14ac:dyDescent="0.35"/>
  <cols>
    <col min="1" max="1" width="6.7265625" style="1" customWidth="1"/>
    <col min="2" max="2" width="13.6328125" style="1" bestFit="1" customWidth="1"/>
    <col min="3" max="3" width="15.54296875" style="1" customWidth="1"/>
    <col min="4" max="4" width="13.36328125" style="1" customWidth="1"/>
    <col min="5" max="5" width="8.36328125" style="1" customWidth="1"/>
    <col min="6" max="6" width="11.54296875" style="1" customWidth="1"/>
    <col min="7" max="7" width="8.81640625" style="1" customWidth="1"/>
    <col min="8" max="8" width="8.36328125" style="1" customWidth="1"/>
    <col min="9" max="9" width="12" style="1" customWidth="1"/>
    <col min="10" max="10" width="9.54296875" style="1" customWidth="1"/>
    <col min="11" max="11" width="8" style="1" customWidth="1"/>
    <col min="12" max="12" width="8.90625" style="1" customWidth="1"/>
    <col min="13" max="13" width="12.7265625" style="1" customWidth="1"/>
    <col min="14" max="16384" width="8.7265625" style="1"/>
  </cols>
  <sheetData>
    <row r="1" spans="1:13" x14ac:dyDescent="0.35">
      <c r="A1" s="1" t="s">
        <v>103</v>
      </c>
      <c r="B1" s="1" t="s">
        <v>102</v>
      </c>
      <c r="C1" s="1" t="s">
        <v>101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100</v>
      </c>
      <c r="M1" s="1" t="s">
        <v>97</v>
      </c>
    </row>
    <row r="2" spans="1:13" x14ac:dyDescent="0.35">
      <c r="A2" s="1" t="s">
        <v>77</v>
      </c>
      <c r="B2" s="1" t="s">
        <v>89</v>
      </c>
      <c r="C2" s="1">
        <v>20000</v>
      </c>
      <c r="D2" s="1">
        <f>C2*5/100</f>
        <v>1000</v>
      </c>
      <c r="E2" s="1">
        <f>C2*6/100</f>
        <v>1200</v>
      </c>
      <c r="F2" s="1">
        <f>C2*10/100</f>
        <v>2000</v>
      </c>
      <c r="G2" s="1">
        <v>1000</v>
      </c>
      <c r="H2" s="1">
        <v>1500</v>
      </c>
      <c r="I2" s="1">
        <f>C2*12/100</f>
        <v>2400</v>
      </c>
      <c r="J2" s="1">
        <v>3000</v>
      </c>
      <c r="K2" s="1">
        <f>C2*1/100</f>
        <v>200</v>
      </c>
      <c r="L2" s="1">
        <f>SUM(C2+D2+E2+F2+H2-G2-J2-K2)</f>
        <v>21500</v>
      </c>
      <c r="M2" s="1">
        <f>SUM(L2-I2)</f>
        <v>19100</v>
      </c>
    </row>
    <row r="3" spans="1:13" x14ac:dyDescent="0.35">
      <c r="A3" s="1" t="s">
        <v>78</v>
      </c>
      <c r="B3" s="1" t="s">
        <v>90</v>
      </c>
      <c r="C3" s="1">
        <v>30000</v>
      </c>
      <c r="D3" s="1">
        <f t="shared" ref="D3:D12" si="0">C3*5/100</f>
        <v>1500</v>
      </c>
      <c r="E3" s="1">
        <f t="shared" ref="E3:E12" si="1">C3*6/100</f>
        <v>1800</v>
      </c>
      <c r="F3" s="1">
        <f t="shared" ref="F3:F13" si="2">C3*10/100</f>
        <v>3000</v>
      </c>
      <c r="G3" s="1">
        <v>1000</v>
      </c>
      <c r="H3" s="1">
        <v>1500</v>
      </c>
      <c r="I3" s="1">
        <f t="shared" ref="I3:I13" si="3">C3*12/100</f>
        <v>3600</v>
      </c>
      <c r="J3" s="1">
        <v>3000</v>
      </c>
      <c r="K3" s="1">
        <f t="shared" ref="K3:K11" si="4">C3*1/100</f>
        <v>300</v>
      </c>
      <c r="L3" s="1">
        <f t="shared" ref="L3:L11" si="5">SUM(C3+D3+E3+F3+H3-G3-J3-K3)</f>
        <v>33500</v>
      </c>
      <c r="M3" s="1">
        <f t="shared" ref="M3:M13" si="6">SUM(L3-I3)</f>
        <v>29900</v>
      </c>
    </row>
    <row r="4" spans="1:13" x14ac:dyDescent="0.35">
      <c r="A4" s="1" t="s">
        <v>79</v>
      </c>
      <c r="B4" s="1" t="s">
        <v>91</v>
      </c>
      <c r="C4" s="1">
        <v>50000</v>
      </c>
      <c r="D4" s="1">
        <f t="shared" si="0"/>
        <v>2500</v>
      </c>
      <c r="E4" s="1">
        <f t="shared" si="1"/>
        <v>3000</v>
      </c>
      <c r="F4" s="1">
        <f t="shared" si="2"/>
        <v>5000</v>
      </c>
      <c r="G4" s="1">
        <v>1000</v>
      </c>
      <c r="H4" s="1">
        <v>1500</v>
      </c>
      <c r="I4" s="1">
        <f t="shared" si="3"/>
        <v>6000</v>
      </c>
      <c r="J4" s="1">
        <v>3000</v>
      </c>
      <c r="K4" s="1">
        <f t="shared" si="4"/>
        <v>500</v>
      </c>
      <c r="L4" s="1">
        <f t="shared" si="5"/>
        <v>57500</v>
      </c>
      <c r="M4" s="1">
        <f t="shared" si="6"/>
        <v>51500</v>
      </c>
    </row>
    <row r="5" spans="1:13" x14ac:dyDescent="0.35">
      <c r="A5" s="1" t="s">
        <v>80</v>
      </c>
      <c r="B5" s="1" t="s">
        <v>92</v>
      </c>
      <c r="C5" s="1">
        <v>65000</v>
      </c>
      <c r="D5" s="1">
        <f t="shared" si="0"/>
        <v>3250</v>
      </c>
      <c r="E5" s="1">
        <f t="shared" si="1"/>
        <v>3900</v>
      </c>
      <c r="F5" s="1">
        <f t="shared" si="2"/>
        <v>6500</v>
      </c>
      <c r="G5" s="1">
        <v>1000</v>
      </c>
      <c r="H5" s="1">
        <v>1500</v>
      </c>
      <c r="I5" s="1">
        <f t="shared" si="3"/>
        <v>7800</v>
      </c>
      <c r="J5" s="1">
        <v>3000</v>
      </c>
      <c r="K5" s="1">
        <f t="shared" si="4"/>
        <v>650</v>
      </c>
      <c r="L5" s="1">
        <f t="shared" si="5"/>
        <v>75500</v>
      </c>
      <c r="M5" s="1">
        <f t="shared" si="6"/>
        <v>67700</v>
      </c>
    </row>
    <row r="6" spans="1:13" x14ac:dyDescent="0.35">
      <c r="A6" s="1" t="s">
        <v>81</v>
      </c>
      <c r="B6" s="1" t="s">
        <v>93</v>
      </c>
      <c r="C6" s="1">
        <v>100000</v>
      </c>
      <c r="D6" s="1">
        <f t="shared" si="0"/>
        <v>5000</v>
      </c>
      <c r="E6" s="1">
        <f t="shared" si="1"/>
        <v>6000</v>
      </c>
      <c r="F6" s="1">
        <f t="shared" si="2"/>
        <v>10000</v>
      </c>
      <c r="G6" s="1">
        <v>2500</v>
      </c>
      <c r="H6" s="1">
        <v>1500</v>
      </c>
      <c r="I6" s="1">
        <f t="shared" si="3"/>
        <v>12000</v>
      </c>
      <c r="J6" s="1">
        <v>3000</v>
      </c>
      <c r="K6" s="1">
        <f t="shared" si="4"/>
        <v>1000</v>
      </c>
      <c r="L6" s="1">
        <f t="shared" si="5"/>
        <v>116000</v>
      </c>
      <c r="M6" s="1">
        <f t="shared" si="6"/>
        <v>104000</v>
      </c>
    </row>
    <row r="7" spans="1:13" x14ac:dyDescent="0.35">
      <c r="A7" s="1" t="s">
        <v>82</v>
      </c>
      <c r="B7" s="1" t="s">
        <v>94</v>
      </c>
      <c r="C7" s="1">
        <v>35000</v>
      </c>
      <c r="D7" s="1">
        <f t="shared" si="0"/>
        <v>1750</v>
      </c>
      <c r="E7" s="1">
        <f t="shared" si="1"/>
        <v>2100</v>
      </c>
      <c r="F7" s="1">
        <f t="shared" si="2"/>
        <v>3500</v>
      </c>
      <c r="G7" s="1">
        <v>3500</v>
      </c>
      <c r="H7" s="1">
        <v>1500</v>
      </c>
      <c r="I7" s="1">
        <f t="shared" si="3"/>
        <v>4200</v>
      </c>
      <c r="J7" s="1">
        <v>3000</v>
      </c>
      <c r="K7" s="1">
        <f t="shared" si="4"/>
        <v>350</v>
      </c>
      <c r="L7" s="1">
        <f t="shared" si="5"/>
        <v>37000</v>
      </c>
      <c r="M7" s="1">
        <f t="shared" si="6"/>
        <v>32800</v>
      </c>
    </row>
    <row r="8" spans="1:13" x14ac:dyDescent="0.35">
      <c r="A8" s="1" t="s">
        <v>83</v>
      </c>
      <c r="B8" s="1" t="s">
        <v>23</v>
      </c>
      <c r="C8" s="1">
        <v>55000</v>
      </c>
      <c r="D8" s="1">
        <f t="shared" si="0"/>
        <v>2750</v>
      </c>
      <c r="E8" s="1">
        <f t="shared" si="1"/>
        <v>3300</v>
      </c>
      <c r="F8" s="1">
        <f t="shared" si="2"/>
        <v>5500</v>
      </c>
      <c r="G8" s="1">
        <v>1500</v>
      </c>
      <c r="H8" s="1">
        <v>1500</v>
      </c>
      <c r="I8" s="1">
        <f t="shared" si="3"/>
        <v>6600</v>
      </c>
      <c r="J8" s="1">
        <v>3000</v>
      </c>
      <c r="K8" s="1">
        <f t="shared" si="4"/>
        <v>550</v>
      </c>
      <c r="L8" s="1">
        <f t="shared" si="5"/>
        <v>63000</v>
      </c>
      <c r="M8" s="1">
        <f t="shared" si="6"/>
        <v>56400</v>
      </c>
    </row>
    <row r="9" spans="1:13" x14ac:dyDescent="0.35">
      <c r="A9" s="1" t="s">
        <v>84</v>
      </c>
      <c r="B9" s="1" t="s">
        <v>24</v>
      </c>
      <c r="C9" s="1">
        <v>10000</v>
      </c>
      <c r="D9" s="1">
        <f t="shared" si="0"/>
        <v>500</v>
      </c>
      <c r="E9" s="1">
        <f t="shared" si="1"/>
        <v>600</v>
      </c>
      <c r="F9" s="1">
        <f t="shared" si="2"/>
        <v>1000</v>
      </c>
      <c r="G9" s="1">
        <v>1000</v>
      </c>
      <c r="H9" s="1">
        <v>1000</v>
      </c>
      <c r="I9" s="1">
        <f t="shared" si="3"/>
        <v>1200</v>
      </c>
      <c r="J9" s="1">
        <v>500</v>
      </c>
      <c r="K9" s="1">
        <f t="shared" si="4"/>
        <v>100</v>
      </c>
      <c r="L9" s="1">
        <f t="shared" si="5"/>
        <v>11500</v>
      </c>
      <c r="M9" s="1">
        <f t="shared" si="6"/>
        <v>10300</v>
      </c>
    </row>
    <row r="10" spans="1:13" x14ac:dyDescent="0.35">
      <c r="A10" s="1" t="s">
        <v>85</v>
      </c>
      <c r="B10" s="1" t="s">
        <v>25</v>
      </c>
      <c r="C10" s="1">
        <v>18000</v>
      </c>
      <c r="D10" s="1">
        <f t="shared" si="0"/>
        <v>900</v>
      </c>
      <c r="E10" s="1">
        <f t="shared" si="1"/>
        <v>1080</v>
      </c>
      <c r="F10" s="1">
        <f t="shared" si="2"/>
        <v>1800</v>
      </c>
      <c r="G10" s="1">
        <v>900</v>
      </c>
      <c r="H10" s="1">
        <v>1500</v>
      </c>
      <c r="I10" s="1">
        <f t="shared" si="3"/>
        <v>2160</v>
      </c>
      <c r="J10" s="1">
        <v>3000</v>
      </c>
      <c r="K10" s="1">
        <f t="shared" si="4"/>
        <v>180</v>
      </c>
      <c r="L10" s="1">
        <f t="shared" si="5"/>
        <v>19200</v>
      </c>
      <c r="M10" s="1">
        <f t="shared" si="6"/>
        <v>17040</v>
      </c>
    </row>
    <row r="11" spans="1:13" x14ac:dyDescent="0.35">
      <c r="A11" s="1" t="s">
        <v>86</v>
      </c>
      <c r="B11" s="1" t="s">
        <v>26</v>
      </c>
      <c r="C11" s="1">
        <v>40000</v>
      </c>
      <c r="D11" s="1">
        <f t="shared" si="0"/>
        <v>2000</v>
      </c>
      <c r="E11" s="1">
        <f t="shared" si="1"/>
        <v>2400</v>
      </c>
      <c r="F11" s="1">
        <f t="shared" si="2"/>
        <v>4000</v>
      </c>
      <c r="G11" s="1">
        <v>1250</v>
      </c>
      <c r="H11" s="1">
        <v>1500</v>
      </c>
      <c r="I11" s="1">
        <f t="shared" si="3"/>
        <v>4800</v>
      </c>
      <c r="J11" s="1">
        <v>3000</v>
      </c>
      <c r="K11" s="1">
        <f t="shared" si="4"/>
        <v>400</v>
      </c>
      <c r="L11" s="1">
        <f t="shared" si="5"/>
        <v>45250</v>
      </c>
      <c r="M11" s="1">
        <f t="shared" si="6"/>
        <v>40450</v>
      </c>
    </row>
    <row r="12" spans="1:13" x14ac:dyDescent="0.35">
      <c r="A12" s="1" t="s">
        <v>87</v>
      </c>
      <c r="B12" s="1" t="s">
        <v>30</v>
      </c>
      <c r="C12" s="1">
        <v>38000</v>
      </c>
      <c r="D12" s="1">
        <f t="shared" si="0"/>
        <v>1900</v>
      </c>
      <c r="E12" s="1">
        <f t="shared" si="1"/>
        <v>2280</v>
      </c>
      <c r="F12" s="1">
        <f>C12*10/100</f>
        <v>3800</v>
      </c>
      <c r="G12" s="1">
        <v>2500</v>
      </c>
      <c r="H12" s="1">
        <v>1500</v>
      </c>
      <c r="I12" s="1">
        <f t="shared" si="3"/>
        <v>4560</v>
      </c>
      <c r="J12" s="1">
        <v>3000</v>
      </c>
      <c r="K12" s="1">
        <f>C12*1/100</f>
        <v>380</v>
      </c>
      <c r="L12" s="1">
        <f>SUM(C12+D12+E12+F12+H12-G12-J12-K12)</f>
        <v>41600</v>
      </c>
      <c r="M12" s="1">
        <f t="shared" si="6"/>
        <v>37040</v>
      </c>
    </row>
    <row r="13" spans="1:13" x14ac:dyDescent="0.35">
      <c r="A13" s="1" t="s">
        <v>88</v>
      </c>
      <c r="B13" s="1" t="s">
        <v>31</v>
      </c>
      <c r="C13" s="1">
        <v>15000</v>
      </c>
      <c r="D13" s="1">
        <f>C13*5/100</f>
        <v>750</v>
      </c>
      <c r="E13" s="1">
        <f>C13*6/100</f>
        <v>900</v>
      </c>
      <c r="F13" s="1">
        <f t="shared" si="2"/>
        <v>1500</v>
      </c>
      <c r="G13" s="1">
        <v>1000</v>
      </c>
      <c r="H13" s="1">
        <v>1500</v>
      </c>
      <c r="I13" s="1">
        <f t="shared" si="3"/>
        <v>1800</v>
      </c>
      <c r="J13" s="1">
        <v>3000</v>
      </c>
      <c r="K13" s="1">
        <f>C13*1/100</f>
        <v>150</v>
      </c>
      <c r="L13" s="1">
        <f>SUM(C13+D13+E13+F13+H13-G13-J13-K13)</f>
        <v>15500</v>
      </c>
      <c r="M13" s="1">
        <f t="shared" si="6"/>
        <v>13700</v>
      </c>
    </row>
    <row r="16" spans="1:13" x14ac:dyDescent="0.35">
      <c r="B16" s="1" t="s">
        <v>95</v>
      </c>
      <c r="C16" s="1" t="s">
        <v>96</v>
      </c>
    </row>
    <row r="18" spans="2:3" x14ac:dyDescent="0.35">
      <c r="B18" s="1" t="s">
        <v>99</v>
      </c>
      <c r="C18" s="1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STUDENTDETAILS</vt:lpstr>
      <vt:lpstr>COURSEFEES</vt:lpstr>
      <vt:lpstr>BILL</vt:lpstr>
      <vt:lpstr>JUICE</vt:lpstr>
      <vt:lpstr>SALARYBILL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2025-12-04T09:33:50Z</dcterms:created>
  <dcterms:modified xsi:type="dcterms:W3CDTF">2025-12-08T09:46:53Z</dcterms:modified>
</cp:coreProperties>
</file>