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"/>
    </mc:Choice>
  </mc:AlternateContent>
  <bookViews>
    <workbookView xWindow="0" yWindow="0" windowWidth="19200" windowHeight="6830" activeTab="5"/>
  </bookViews>
  <sheets>
    <sheet name="Sheet1" sheetId="1" r:id="rId1"/>
    <sheet name="Sheet2" sheetId="2" r:id="rId2"/>
    <sheet name="sim-com" sheetId="3" r:id="rId3"/>
    <sheet name="Sheet4" sheetId="4" r:id="rId4"/>
    <sheet name="target-speed" sheetId="5" r:id="rId5"/>
    <sheet name="Sheet3" sheetId="6" r:id="rId6"/>
  </sheets>
  <definedNames>
    <definedName name="int">Sheet4!$K$7</definedName>
    <definedName name="ir">'sim-com'!$C$4</definedName>
    <definedName name="irn">Sheet4!$K$7</definedName>
    <definedName name="mon">Sheet4!$K$6</definedName>
    <definedName name="month">Sheet4!$K$6</definedName>
    <definedName name="no">Sheet4!$K$8</definedName>
    <definedName name="noy">'sim-com'!$C$5</definedName>
    <definedName name="num">Sheet4!$K$8</definedName>
    <definedName name="prn">'sim-com'!$C$3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" i="5" l="1"/>
  <c r="D5" i="5" l="1"/>
  <c r="L11" i="4"/>
  <c r="L13" i="4" s="1"/>
  <c r="E4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5" i="4"/>
  <c r="B6" i="4"/>
  <c r="B7" i="4"/>
  <c r="B8" i="4"/>
  <c r="B9" i="4"/>
  <c r="B4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5" i="4"/>
  <c r="D6" i="4"/>
  <c r="D7" i="4"/>
  <c r="D4" i="4"/>
  <c r="F4" i="4" l="1"/>
  <c r="C5" i="4" s="1"/>
  <c r="E5" i="4" s="1"/>
  <c r="C8" i="3"/>
  <c r="C7" i="3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4" i="2"/>
  <c r="B4" i="2"/>
  <c r="C4" i="2" s="1"/>
  <c r="E4" i="2" s="1"/>
  <c r="F4" i="2" s="1"/>
  <c r="B5" i="2" s="1"/>
  <c r="B5" i="1"/>
  <c r="C5" i="1" s="1"/>
  <c r="D5" i="1"/>
  <c r="F5" i="4" l="1"/>
  <c r="C6" i="4" s="1"/>
  <c r="E8" i="3"/>
  <c r="C5" i="2"/>
  <c r="E5" i="2" s="1"/>
  <c r="F5" i="2" s="1"/>
  <c r="B6" i="2" s="1"/>
  <c r="E5" i="1"/>
  <c r="F5" i="1" s="1"/>
  <c r="B6" i="1" s="1"/>
  <c r="C6" i="1" s="1"/>
  <c r="E6" i="4" l="1"/>
  <c r="F6" i="4"/>
  <c r="C7" i="4" s="1"/>
  <c r="C6" i="2"/>
  <c r="E6" i="2" s="1"/>
  <c r="F6" i="2" s="1"/>
  <c r="B7" i="2" s="1"/>
  <c r="C7" i="2" s="1"/>
  <c r="E7" i="2" s="1"/>
  <c r="F7" i="2" s="1"/>
  <c r="B8" i="2" s="1"/>
  <c r="C8" i="2" s="1"/>
  <c r="E8" i="2" s="1"/>
  <c r="F8" i="2" s="1"/>
  <c r="B9" i="2" s="1"/>
  <c r="E6" i="1"/>
  <c r="F6" i="1" s="1"/>
  <c r="B7" i="1" s="1"/>
  <c r="C7" i="1" s="1"/>
  <c r="E7" i="1" s="1"/>
  <c r="F7" i="1" s="1"/>
  <c r="E7" i="4" l="1"/>
  <c r="F7" i="4" s="1"/>
  <c r="C8" i="4" s="1"/>
  <c r="C9" i="2"/>
  <c r="E9" i="2" s="1"/>
  <c r="F9" i="2" s="1"/>
  <c r="B10" i="2" s="1"/>
  <c r="B8" i="1"/>
  <c r="C8" i="1" s="1"/>
  <c r="E8" i="1" s="1"/>
  <c r="F8" i="1" s="1"/>
  <c r="B9" i="1" s="1"/>
  <c r="E8" i="4" l="1"/>
  <c r="F8" i="4"/>
  <c r="C9" i="4" s="1"/>
  <c r="C10" i="2"/>
  <c r="E10" i="2" s="1"/>
  <c r="F10" i="2" s="1"/>
  <c r="B11" i="2" s="1"/>
  <c r="C9" i="1"/>
  <c r="E9" i="1" s="1"/>
  <c r="F9" i="1" s="1"/>
  <c r="B10" i="1" s="1"/>
  <c r="E9" i="4" l="1"/>
  <c r="F9" i="4" s="1"/>
  <c r="C10" i="4" s="1"/>
  <c r="E10" i="4" s="1"/>
  <c r="F10" i="4" s="1"/>
  <c r="C11" i="4" s="1"/>
  <c r="C11" i="2"/>
  <c r="E11" i="2" s="1"/>
  <c r="F11" i="2" s="1"/>
  <c r="B12" i="2" s="1"/>
  <c r="C10" i="1"/>
  <c r="E10" i="1" s="1"/>
  <c r="F10" i="1" s="1"/>
  <c r="B11" i="1" s="1"/>
  <c r="C11" i="1" s="1"/>
  <c r="E11" i="1" s="1"/>
  <c r="F11" i="1" s="1"/>
  <c r="B12" i="1" s="1"/>
  <c r="C12" i="1" s="1"/>
  <c r="E12" i="1" s="1"/>
  <c r="F12" i="1" s="1"/>
  <c r="B13" i="1" s="1"/>
  <c r="E11" i="4" l="1"/>
  <c r="F11" i="4"/>
  <c r="C12" i="4" s="1"/>
  <c r="C12" i="2"/>
  <c r="E12" i="2" s="1"/>
  <c r="F12" i="2" s="1"/>
  <c r="B13" i="2" s="1"/>
  <c r="C13" i="1"/>
  <c r="E13" i="1" s="1"/>
  <c r="F13" i="1" s="1"/>
  <c r="B14" i="1" s="1"/>
  <c r="E12" i="4" l="1"/>
  <c r="F12" i="4"/>
  <c r="C13" i="4" s="1"/>
  <c r="E13" i="4" s="1"/>
  <c r="F13" i="4" s="1"/>
  <c r="C14" i="4" s="1"/>
  <c r="C13" i="2"/>
  <c r="E13" i="2" s="1"/>
  <c r="F13" i="2" s="1"/>
  <c r="B14" i="2" s="1"/>
  <c r="C14" i="1"/>
  <c r="E14" i="1" s="1"/>
  <c r="F14" i="1" s="1"/>
  <c r="B15" i="1" s="1"/>
  <c r="C15" i="1" s="1"/>
  <c r="E15" i="1" s="1"/>
  <c r="F15" i="1" s="1"/>
  <c r="B16" i="1" s="1"/>
  <c r="C16" i="1" s="1"/>
  <c r="E16" i="1" s="1"/>
  <c r="F16" i="1" s="1"/>
  <c r="B17" i="1" s="1"/>
  <c r="C17" i="1" s="1"/>
  <c r="E17" i="1" s="1"/>
  <c r="F17" i="1" s="1"/>
  <c r="B18" i="1" s="1"/>
  <c r="E14" i="4" l="1"/>
  <c r="F14" i="4"/>
  <c r="C15" i="4" s="1"/>
  <c r="C14" i="2"/>
  <c r="E14" i="2" s="1"/>
  <c r="F14" i="2" s="1"/>
  <c r="B15" i="2" s="1"/>
  <c r="C18" i="1"/>
  <c r="E18" i="1" s="1"/>
  <c r="F18" i="1" s="1"/>
  <c r="B19" i="1" s="1"/>
  <c r="C19" i="1" s="1"/>
  <c r="E19" i="1" s="1"/>
  <c r="F19" i="1" s="1"/>
  <c r="B20" i="1" s="1"/>
  <c r="C20" i="1" s="1"/>
  <c r="E20" i="1" s="1"/>
  <c r="F20" i="1" s="1"/>
  <c r="B21" i="1" s="1"/>
  <c r="C21" i="1" s="1"/>
  <c r="E21" i="1" s="1"/>
  <c r="F21" i="1" s="1"/>
  <c r="B22" i="1" s="1"/>
  <c r="F15" i="4" l="1"/>
  <c r="C16" i="4" s="1"/>
  <c r="E16" i="4" s="1"/>
  <c r="F16" i="4" s="1"/>
  <c r="C17" i="4" s="1"/>
  <c r="E17" i="4" s="1"/>
  <c r="F17" i="4" s="1"/>
  <c r="C18" i="4" s="1"/>
  <c r="E15" i="4"/>
  <c r="C15" i="2"/>
  <c r="E15" i="2" s="1"/>
  <c r="F15" i="2" s="1"/>
  <c r="B16" i="2" s="1"/>
  <c r="C22" i="1"/>
  <c r="E22" i="1" s="1"/>
  <c r="F22" i="1" s="1"/>
  <c r="B23" i="1" s="1"/>
  <c r="E18" i="4" l="1"/>
  <c r="F18" i="4"/>
  <c r="C19" i="4" s="1"/>
  <c r="E19" i="4" s="1"/>
  <c r="F19" i="4" s="1"/>
  <c r="C20" i="4" s="1"/>
  <c r="C16" i="2"/>
  <c r="E16" i="2" s="1"/>
  <c r="F16" i="2" s="1"/>
  <c r="B17" i="2" s="1"/>
  <c r="C23" i="1"/>
  <c r="E23" i="1" s="1"/>
  <c r="F23" i="1" s="1"/>
  <c r="B24" i="1" s="1"/>
  <c r="C24" i="1" s="1"/>
  <c r="E24" i="1" s="1"/>
  <c r="F24" i="1" s="1"/>
  <c r="B25" i="1" s="1"/>
  <c r="E20" i="4" l="1"/>
  <c r="F20" i="4"/>
  <c r="C21" i="4" s="1"/>
  <c r="E21" i="4" s="1"/>
  <c r="F21" i="4" s="1"/>
  <c r="C22" i="4" s="1"/>
  <c r="E22" i="4"/>
  <c r="F22" i="4"/>
  <c r="C23" i="4" s="1"/>
  <c r="C17" i="2"/>
  <c r="E17" i="2" s="1"/>
  <c r="F17" i="2" s="1"/>
  <c r="B18" i="2" s="1"/>
  <c r="C25" i="1"/>
  <c r="E25" i="1" s="1"/>
  <c r="F25" i="1" s="1"/>
  <c r="B26" i="1" s="1"/>
  <c r="E23" i="4" l="1"/>
  <c r="F23" i="4" s="1"/>
  <c r="C24" i="4" s="1"/>
  <c r="C18" i="2"/>
  <c r="E18" i="2" s="1"/>
  <c r="F18" i="2" s="1"/>
  <c r="B19" i="2" s="1"/>
  <c r="C26" i="1"/>
  <c r="E26" i="1" s="1"/>
  <c r="F26" i="1" s="1"/>
  <c r="B27" i="1" s="1"/>
  <c r="E24" i="4" l="1"/>
  <c r="F24" i="4" s="1"/>
  <c r="C25" i="4" s="1"/>
  <c r="C19" i="2"/>
  <c r="E19" i="2" s="1"/>
  <c r="F19" i="2" s="1"/>
  <c r="B20" i="2" s="1"/>
  <c r="C27" i="1"/>
  <c r="E27" i="1" s="1"/>
  <c r="F27" i="1" s="1"/>
  <c r="B28" i="1" s="1"/>
  <c r="E25" i="4" l="1"/>
  <c r="F25" i="4" s="1"/>
  <c r="C26" i="4" s="1"/>
  <c r="C20" i="2"/>
  <c r="E20" i="2" s="1"/>
  <c r="F20" i="2" s="1"/>
  <c r="B21" i="2" s="1"/>
  <c r="C28" i="1"/>
  <c r="E28" i="1" s="1"/>
  <c r="F28" i="1" s="1"/>
  <c r="B29" i="1" s="1"/>
  <c r="E26" i="4" l="1"/>
  <c r="F26" i="4"/>
  <c r="C27" i="4" s="1"/>
  <c r="C21" i="2"/>
  <c r="E21" i="2" s="1"/>
  <c r="F21" i="2" s="1"/>
  <c r="B22" i="2" s="1"/>
  <c r="C29" i="1"/>
  <c r="E29" i="1" s="1"/>
  <c r="F29" i="1" s="1"/>
  <c r="B30" i="1" s="1"/>
  <c r="E27" i="4" l="1"/>
  <c r="F27" i="4" s="1"/>
  <c r="C28" i="4" s="1"/>
  <c r="C22" i="2"/>
  <c r="E22" i="2" s="1"/>
  <c r="F22" i="2" s="1"/>
  <c r="B23" i="2" s="1"/>
  <c r="C30" i="1"/>
  <c r="E30" i="1" s="1"/>
  <c r="F30" i="1" s="1"/>
  <c r="B31" i="1" s="1"/>
  <c r="C31" i="1" s="1"/>
  <c r="E31" i="1" s="1"/>
  <c r="F31" i="1" s="1"/>
  <c r="B32" i="1" s="1"/>
  <c r="E28" i="4" l="1"/>
  <c r="F28" i="4"/>
  <c r="C29" i="4" s="1"/>
  <c r="C23" i="2"/>
  <c r="E23" i="2" s="1"/>
  <c r="F23" i="2" s="1"/>
  <c r="B24" i="2" s="1"/>
  <c r="C32" i="1"/>
  <c r="E32" i="1" s="1"/>
  <c r="F32" i="1" s="1"/>
  <c r="B33" i="1" s="1"/>
  <c r="C33" i="1" s="1"/>
  <c r="E33" i="1" s="1"/>
  <c r="F33" i="1" s="1"/>
  <c r="B34" i="1" s="1"/>
  <c r="E29" i="4" l="1"/>
  <c r="F29" i="4" s="1"/>
  <c r="C30" i="4" s="1"/>
  <c r="C24" i="2"/>
  <c r="E24" i="2" s="1"/>
  <c r="F24" i="2" s="1"/>
  <c r="B25" i="2" s="1"/>
  <c r="C34" i="1"/>
  <c r="E34" i="1" s="1"/>
  <c r="F34" i="1" s="1"/>
  <c r="B35" i="1" s="1"/>
  <c r="C35" i="1" s="1"/>
  <c r="E35" i="1" s="1"/>
  <c r="F35" i="1" s="1"/>
  <c r="B36" i="1" s="1"/>
  <c r="C36" i="1" s="1"/>
  <c r="E36" i="1" s="1"/>
  <c r="F36" i="1" s="1"/>
  <c r="B37" i="1" s="1"/>
  <c r="E30" i="4" l="1"/>
  <c r="F30" i="4" s="1"/>
  <c r="C31" i="4" s="1"/>
  <c r="C25" i="2"/>
  <c r="E25" i="2" s="1"/>
  <c r="F25" i="2" s="1"/>
  <c r="B26" i="2" s="1"/>
  <c r="C37" i="1"/>
  <c r="E37" i="1" s="1"/>
  <c r="F37" i="1" s="1"/>
  <c r="B38" i="1" s="1"/>
  <c r="E31" i="4" l="1"/>
  <c r="F31" i="4" s="1"/>
  <c r="C32" i="4" s="1"/>
  <c r="C26" i="2"/>
  <c r="E26" i="2" s="1"/>
  <c r="F26" i="2" s="1"/>
  <c r="B27" i="2" s="1"/>
  <c r="C38" i="1"/>
  <c r="E38" i="1" s="1"/>
  <c r="F38" i="1" s="1"/>
  <c r="B39" i="1" s="1"/>
  <c r="C39" i="1" s="1"/>
  <c r="E39" i="1" s="1"/>
  <c r="F39" i="1" s="1"/>
  <c r="B40" i="1" s="1"/>
  <c r="C40" i="1" s="1"/>
  <c r="E40" i="1" s="1"/>
  <c r="F40" i="1" s="1"/>
  <c r="E32" i="4" l="1"/>
  <c r="F32" i="4" s="1"/>
  <c r="C33" i="4" s="1"/>
  <c r="C27" i="2"/>
  <c r="E27" i="2" s="1"/>
  <c r="F27" i="2" s="1"/>
  <c r="E33" i="4" l="1"/>
  <c r="F33" i="4" s="1"/>
  <c r="C34" i="4" s="1"/>
  <c r="E34" i="4" l="1"/>
  <c r="F34" i="4"/>
  <c r="C35" i="4" s="1"/>
  <c r="E35" i="4" l="1"/>
  <c r="F35" i="4" s="1"/>
  <c r="C36" i="4" s="1"/>
  <c r="E36" i="4" l="1"/>
  <c r="F36" i="4" s="1"/>
  <c r="C37" i="4" s="1"/>
  <c r="E37" i="4" l="1"/>
  <c r="F37" i="4"/>
  <c r="C38" i="4" s="1"/>
  <c r="E38" i="4" l="1"/>
  <c r="F38" i="4"/>
  <c r="C39" i="4" s="1"/>
  <c r="E39" i="4" l="1"/>
  <c r="F39" i="4"/>
  <c r="C40" i="4" s="1"/>
  <c r="E40" i="4" l="1"/>
  <c r="F40" i="4" s="1"/>
  <c r="C41" i="4" s="1"/>
  <c r="E41" i="4" l="1"/>
  <c r="F41" i="4" s="1"/>
  <c r="C42" i="4" s="1"/>
  <c r="E42" i="4" l="1"/>
  <c r="F42" i="4" s="1"/>
  <c r="C43" i="4" s="1"/>
  <c r="E43" i="4" l="1"/>
  <c r="F43" i="4"/>
  <c r="C44" i="4" s="1"/>
  <c r="E44" i="4" l="1"/>
  <c r="F44" i="4"/>
  <c r="C45" i="4" s="1"/>
  <c r="E45" i="4" l="1"/>
  <c r="F45" i="4"/>
  <c r="C46" i="4" s="1"/>
  <c r="E46" i="4" l="1"/>
  <c r="F46" i="4"/>
  <c r="C47" i="4" s="1"/>
  <c r="E47" i="4" l="1"/>
  <c r="F47" i="4" s="1"/>
  <c r="C48" i="4" s="1"/>
  <c r="E48" i="4" l="1"/>
  <c r="F48" i="4" s="1"/>
  <c r="C49" i="4" s="1"/>
  <c r="E49" i="4" l="1"/>
  <c r="F49" i="4" s="1"/>
  <c r="C50" i="4" s="1"/>
  <c r="E50" i="4" l="1"/>
  <c r="F50" i="4" s="1"/>
  <c r="C51" i="4" s="1"/>
  <c r="E51" i="4" l="1"/>
  <c r="F51" i="4" s="1"/>
  <c r="C52" i="4" s="1"/>
  <c r="E52" i="4" l="1"/>
  <c r="F52" i="4" s="1"/>
  <c r="C53" i="4" s="1"/>
  <c r="E53" i="4" l="1"/>
  <c r="F53" i="4" s="1"/>
  <c r="C54" i="4" s="1"/>
  <c r="E54" i="4" l="1"/>
  <c r="F54" i="4" s="1"/>
  <c r="C55" i="4" s="1"/>
  <c r="E55" i="4" l="1"/>
  <c r="F55" i="4" s="1"/>
  <c r="C56" i="4" s="1"/>
  <c r="E56" i="4" l="1"/>
  <c r="F56" i="4"/>
  <c r="C57" i="4" s="1"/>
  <c r="F57" i="4" l="1"/>
  <c r="C58" i="4" s="1"/>
  <c r="E57" i="4"/>
  <c r="E58" i="4" l="1"/>
  <c r="F58" i="4" s="1"/>
  <c r="C59" i="4" s="1"/>
  <c r="E59" i="4" l="1"/>
  <c r="F59" i="4" s="1"/>
  <c r="C60" i="4" s="1"/>
  <c r="E60" i="4" l="1"/>
  <c r="F60" i="4"/>
  <c r="C61" i="4" s="1"/>
  <c r="E61" i="4" l="1"/>
  <c r="F61" i="4"/>
  <c r="C62" i="4" s="1"/>
  <c r="E62" i="4" l="1"/>
  <c r="F62" i="4"/>
  <c r="C63" i="4" s="1"/>
  <c r="E63" i="4" l="1"/>
  <c r="F63" i="4" s="1"/>
  <c r="C64" i="4" s="1"/>
  <c r="E64" i="4" l="1"/>
  <c r="F64" i="4"/>
  <c r="C65" i="4" s="1"/>
  <c r="E65" i="4" l="1"/>
  <c r="F65" i="4" s="1"/>
  <c r="C66" i="4" s="1"/>
  <c r="E66" i="4" l="1"/>
  <c r="F66" i="4"/>
  <c r="C67" i="4" s="1"/>
  <c r="E67" i="4" l="1"/>
  <c r="F67" i="4" s="1"/>
  <c r="C68" i="4" s="1"/>
  <c r="E68" i="4" l="1"/>
  <c r="F68" i="4"/>
  <c r="C69" i="4" s="1"/>
  <c r="E69" i="4" l="1"/>
  <c r="F69" i="4"/>
  <c r="C70" i="4" s="1"/>
  <c r="E70" i="4" l="1"/>
  <c r="F70" i="4" s="1"/>
  <c r="C71" i="4" s="1"/>
  <c r="E71" i="4" l="1"/>
  <c r="F71" i="4" s="1"/>
  <c r="C72" i="4" s="1"/>
  <c r="E72" i="4" l="1"/>
  <c r="F72" i="4" s="1"/>
  <c r="C73" i="4" s="1"/>
  <c r="E73" i="4" l="1"/>
  <c r="F73" i="4" s="1"/>
  <c r="C74" i="4" s="1"/>
  <c r="E74" i="4" l="1"/>
  <c r="F74" i="4" s="1"/>
  <c r="C75" i="4" s="1"/>
  <c r="E75" i="4" l="1"/>
  <c r="F75" i="4" s="1"/>
  <c r="C76" i="4" s="1"/>
  <c r="E76" i="4" l="1"/>
  <c r="F76" i="4"/>
  <c r="C77" i="4" s="1"/>
  <c r="E77" i="4" l="1"/>
  <c r="F77" i="4" s="1"/>
  <c r="C78" i="4" s="1"/>
  <c r="E78" i="4" l="1"/>
  <c r="F78" i="4" s="1"/>
  <c r="C79" i="4" s="1"/>
  <c r="E79" i="4" l="1"/>
  <c r="F79" i="4" s="1"/>
  <c r="C80" i="4" s="1"/>
  <c r="E80" i="4" l="1"/>
  <c r="F80" i="4" s="1"/>
  <c r="C81" i="4" s="1"/>
  <c r="E81" i="4" l="1"/>
  <c r="F81" i="4" s="1"/>
  <c r="C82" i="4" s="1"/>
  <c r="E82" i="4" l="1"/>
  <c r="F82" i="4" s="1"/>
  <c r="C83" i="4" s="1"/>
  <c r="E83" i="4" l="1"/>
  <c r="F83" i="4"/>
  <c r="C84" i="4" s="1"/>
  <c r="E84" i="4" l="1"/>
  <c r="F84" i="4"/>
  <c r="C85" i="4" s="1"/>
  <c r="E85" i="4" l="1"/>
  <c r="F85" i="4"/>
  <c r="C86" i="4" s="1"/>
  <c r="E86" i="4" l="1"/>
  <c r="F86" i="4"/>
  <c r="C87" i="4" s="1"/>
  <c r="E87" i="4" l="1"/>
  <c r="F87" i="4"/>
</calcChain>
</file>

<file path=xl/sharedStrings.xml><?xml version="1.0" encoding="utf-8"?>
<sst xmlns="http://schemas.openxmlformats.org/spreadsheetml/2006/main" count="53" uniqueCount="42">
  <si>
    <t>Loan amount</t>
  </si>
  <si>
    <t>Sno</t>
  </si>
  <si>
    <t>Interest amount</t>
  </si>
  <si>
    <t>Balance amount</t>
  </si>
  <si>
    <t>Interest rate:</t>
  </si>
  <si>
    <t>monthly due</t>
  </si>
  <si>
    <t>Principle amount</t>
  </si>
  <si>
    <t>Monthly paid</t>
  </si>
  <si>
    <t>Loan amt</t>
  </si>
  <si>
    <t>Loan amt:</t>
  </si>
  <si>
    <t>monthly due:</t>
  </si>
  <si>
    <t>interest</t>
  </si>
  <si>
    <t>Interest rate</t>
  </si>
  <si>
    <t>Principle/Loan amount</t>
  </si>
  <si>
    <t>No.of years</t>
  </si>
  <si>
    <t>Simple interest</t>
  </si>
  <si>
    <t>Compound interest</t>
  </si>
  <si>
    <t>no.of months</t>
  </si>
  <si>
    <t>interest rate</t>
  </si>
  <si>
    <t>sno</t>
  </si>
  <si>
    <t>monthly paid</t>
  </si>
  <si>
    <t>total amount</t>
  </si>
  <si>
    <t>pre balance</t>
  </si>
  <si>
    <t>interest amount</t>
  </si>
  <si>
    <t>Answer:</t>
  </si>
  <si>
    <t>Total interest:</t>
  </si>
  <si>
    <t>Total amount:</t>
  </si>
  <si>
    <t xml:space="preserve">   </t>
  </si>
  <si>
    <t>compound interest</t>
  </si>
  <si>
    <t>your salary</t>
  </si>
  <si>
    <t>Expence month</t>
  </si>
  <si>
    <t>no. of years</t>
  </si>
  <si>
    <t>savings monthly</t>
  </si>
  <si>
    <t>speed</t>
  </si>
  <si>
    <t>total km</t>
  </si>
  <si>
    <t>km</t>
  </si>
  <si>
    <t>total hrs</t>
  </si>
  <si>
    <t>mins</t>
  </si>
  <si>
    <t>km/hrs</t>
  </si>
  <si>
    <t>mark</t>
  </si>
  <si>
    <t>name</t>
  </si>
  <si>
    <t>suhaina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</si>
</sst>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NumberFormat="1"/>
    <xf numFmtId="0" fontId="0" fillId="7" borderId="0" xfId="0" applyFill="1"/>
    <xf numFmtId="0" fontId="0" fillId="7" borderId="1" xfId="0" applyFill="1" applyBorder="1"/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2" fontId="0" fillId="0" borderId="0" xfId="0" applyNumberFormat="1"/>
    <xf numFmtId="1" fontId="0" fillId="0" borderId="0" xfId="0" applyNumberFormat="1"/>
    <xf numFmtId="1" fontId="0" fillId="2" borderId="0" xfId="0" applyNumberFormat="1" applyFill="1"/>
    <xf numFmtId="2" fontId="0" fillId="2" borderId="0" xfId="0" applyNumberFormat="1" applyFill="1"/>
    <xf numFmtId="1" fontId="0" fillId="10" borderId="0" xfId="0" applyNumberFormat="1" applyFill="1"/>
    <xf numFmtId="1" fontId="0" fillId="7" borderId="0" xfId="0" applyNumberFormat="1" applyFill="1"/>
    <xf numFmtId="2" fontId="0" fillId="9" borderId="1" xfId="0" applyNumberFormat="1" applyFill="1" applyBorder="1"/>
    <xf numFmtId="2" fontId="0" fillId="10" borderId="0" xfId="0" applyNumberFormat="1" applyFill="1" applyBorder="1"/>
    <xf numFmtId="1" fontId="0" fillId="11" borderId="1" xfId="0" applyNumberFormat="1" applyFill="1" applyBorder="1"/>
    <xf numFmtId="0" fontId="0" fillId="11" borderId="1" xfId="0" applyNumberFormat="1" applyFill="1" applyBorder="1"/>
    <xf numFmtId="2" fontId="0" fillId="8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FF"/>
      <color rgb="FFFF99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>
      <selection activeCell="E2" sqref="E2"/>
    </sheetView>
  </sheetViews>
  <sheetFormatPr defaultRowHeight="14.5" x14ac:dyDescent="0.35"/>
  <cols>
    <col min="1" max="1" width="8.7265625" style="1"/>
    <col min="2" max="2" width="11.81640625" style="1" bestFit="1" customWidth="1"/>
    <col min="3" max="3" width="14.36328125" style="1" bestFit="1" customWidth="1"/>
    <col min="4" max="4" width="14.36328125" style="1" customWidth="1"/>
    <col min="5" max="5" width="15" style="1" bestFit="1" customWidth="1"/>
    <col min="6" max="6" width="14.36328125" style="1" bestFit="1" customWidth="1"/>
    <col min="7" max="16384" width="8.7265625" style="1"/>
  </cols>
  <sheetData>
    <row r="1" spans="1:7" x14ac:dyDescent="0.35">
      <c r="B1" s="7" t="s">
        <v>4</v>
      </c>
      <c r="C1" s="7">
        <v>1.6</v>
      </c>
      <c r="D1" s="8" t="s">
        <v>9</v>
      </c>
      <c r="E1" s="8">
        <v>50000</v>
      </c>
      <c r="F1" s="7" t="s">
        <v>10</v>
      </c>
      <c r="G1" s="7">
        <v>1845</v>
      </c>
    </row>
    <row r="4" spans="1:7" x14ac:dyDescent="0.35">
      <c r="A4" s="3" t="s">
        <v>1</v>
      </c>
      <c r="B4" s="3" t="s">
        <v>0</v>
      </c>
      <c r="C4" s="3" t="s">
        <v>2</v>
      </c>
      <c r="D4" s="3" t="s">
        <v>7</v>
      </c>
      <c r="E4" s="3" t="s">
        <v>6</v>
      </c>
      <c r="F4" s="3" t="s">
        <v>3</v>
      </c>
    </row>
    <row r="5" spans="1:7" x14ac:dyDescent="0.35">
      <c r="A5" s="1">
        <v>1</v>
      </c>
      <c r="B5" s="2">
        <f>E1</f>
        <v>50000</v>
      </c>
      <c r="C5" s="2">
        <f>B5*$C$1/100</f>
        <v>800</v>
      </c>
      <c r="D5" s="2">
        <f>G1</f>
        <v>1845</v>
      </c>
      <c r="E5" s="2">
        <f>D5-C5</f>
        <v>1045</v>
      </c>
      <c r="F5" s="2">
        <f>B5-E5</f>
        <v>48955</v>
      </c>
    </row>
    <row r="6" spans="1:7" x14ac:dyDescent="0.35">
      <c r="A6" s="1">
        <v>2</v>
      </c>
      <c r="B6" s="2">
        <f>F5</f>
        <v>48955</v>
      </c>
      <c r="C6" s="1">
        <f>B6*$C$1/100</f>
        <v>783.28</v>
      </c>
      <c r="D6" s="2">
        <v>1845</v>
      </c>
      <c r="E6" s="1">
        <f>D6-C6</f>
        <v>1061.72</v>
      </c>
      <c r="F6" s="2">
        <f>B6-E6</f>
        <v>47893.279999999999</v>
      </c>
    </row>
    <row r="7" spans="1:7" x14ac:dyDescent="0.35">
      <c r="A7" s="1">
        <v>3</v>
      </c>
      <c r="B7" s="2">
        <f>F6</f>
        <v>47893.279999999999</v>
      </c>
      <c r="C7" s="2">
        <f>B7*$C$1/100</f>
        <v>766.29248000000007</v>
      </c>
      <c r="D7" s="2">
        <v>1845</v>
      </c>
      <c r="E7" s="2">
        <f>D7-C7</f>
        <v>1078.7075199999999</v>
      </c>
      <c r="F7" s="2">
        <f>B7-E7</f>
        <v>46814.572480000003</v>
      </c>
    </row>
    <row r="8" spans="1:7" x14ac:dyDescent="0.35">
      <c r="A8" s="1">
        <v>4</v>
      </c>
      <c r="B8" s="2">
        <f t="shared" ref="B8:B40" si="0">F7</f>
        <v>46814.572480000003</v>
      </c>
      <c r="C8" s="2">
        <f>B8*$C$1/100</f>
        <v>749.03315968000015</v>
      </c>
      <c r="D8" s="2">
        <v>1845</v>
      </c>
      <c r="E8" s="2">
        <f>D8-C8</f>
        <v>1095.9668403199998</v>
      </c>
      <c r="F8" s="2">
        <f>B8-E8</f>
        <v>45718.605639680005</v>
      </c>
    </row>
    <row r="9" spans="1:7" x14ac:dyDescent="0.35">
      <c r="A9" s="1">
        <v>5</v>
      </c>
      <c r="B9" s="2">
        <f t="shared" si="0"/>
        <v>45718.605639680005</v>
      </c>
      <c r="C9" s="2">
        <f t="shared" ref="C9:C40" si="1">B9*$C$1/100</f>
        <v>731.49769023488011</v>
      </c>
      <c r="D9" s="2">
        <v>1845</v>
      </c>
      <c r="E9" s="2">
        <f t="shared" ref="E9:E40" si="2">D9-C9</f>
        <v>1113.5023097651199</v>
      </c>
      <c r="F9" s="2">
        <f t="shared" ref="F9:F40" si="3">B9-E9</f>
        <v>44605.103329914884</v>
      </c>
    </row>
    <row r="10" spans="1:7" x14ac:dyDescent="0.35">
      <c r="A10" s="1">
        <v>6</v>
      </c>
      <c r="B10" s="2">
        <f t="shared" si="0"/>
        <v>44605.103329914884</v>
      </c>
      <c r="C10" s="2">
        <f t="shared" si="1"/>
        <v>713.68165327863812</v>
      </c>
      <c r="D10" s="2">
        <v>1845</v>
      </c>
      <c r="E10" s="2">
        <f t="shared" si="2"/>
        <v>1131.3183467213619</v>
      </c>
      <c r="F10" s="2">
        <f t="shared" si="3"/>
        <v>43473.784983193524</v>
      </c>
    </row>
    <row r="11" spans="1:7" x14ac:dyDescent="0.35">
      <c r="A11" s="1">
        <v>7</v>
      </c>
      <c r="B11" s="2">
        <f t="shared" si="0"/>
        <v>43473.784983193524</v>
      </c>
      <c r="C11" s="2">
        <f t="shared" si="1"/>
        <v>695.5805597310964</v>
      </c>
      <c r="D11" s="2">
        <v>1845</v>
      </c>
      <c r="E11" s="2">
        <f t="shared" si="2"/>
        <v>1149.4194402689036</v>
      </c>
      <c r="F11" s="2">
        <f t="shared" si="3"/>
        <v>42324.365542924621</v>
      </c>
    </row>
    <row r="12" spans="1:7" x14ac:dyDescent="0.35">
      <c r="A12" s="1">
        <v>8</v>
      </c>
      <c r="B12" s="2">
        <f t="shared" si="0"/>
        <v>42324.365542924621</v>
      </c>
      <c r="C12" s="2">
        <f t="shared" si="1"/>
        <v>677.18984868679399</v>
      </c>
      <c r="D12" s="2">
        <v>1845</v>
      </c>
      <c r="E12" s="2">
        <f t="shared" si="2"/>
        <v>1167.810151313206</v>
      </c>
      <c r="F12" s="2">
        <f t="shared" si="3"/>
        <v>41156.555391611415</v>
      </c>
    </row>
    <row r="13" spans="1:7" x14ac:dyDescent="0.35">
      <c r="A13" s="1">
        <v>9</v>
      </c>
      <c r="B13" s="2">
        <f t="shared" si="0"/>
        <v>41156.555391611415</v>
      </c>
      <c r="C13" s="2">
        <f t="shared" si="1"/>
        <v>658.50488626578272</v>
      </c>
      <c r="D13" s="2">
        <v>1845</v>
      </c>
      <c r="E13" s="2">
        <f t="shared" si="2"/>
        <v>1186.4951137342173</v>
      </c>
      <c r="F13" s="2">
        <f t="shared" si="3"/>
        <v>39970.060277877201</v>
      </c>
    </row>
    <row r="14" spans="1:7" x14ac:dyDescent="0.35">
      <c r="A14" s="1">
        <v>10</v>
      </c>
      <c r="B14" s="2">
        <f t="shared" si="0"/>
        <v>39970.060277877201</v>
      </c>
      <c r="C14" s="2">
        <f t="shared" si="1"/>
        <v>639.52096444603524</v>
      </c>
      <c r="D14" s="2">
        <v>1845</v>
      </c>
      <c r="E14" s="2">
        <f t="shared" si="2"/>
        <v>1205.4790355539649</v>
      </c>
      <c r="F14" s="2">
        <f t="shared" si="3"/>
        <v>38764.581242323235</v>
      </c>
    </row>
    <row r="15" spans="1:7" x14ac:dyDescent="0.35">
      <c r="A15" s="1">
        <v>11</v>
      </c>
      <c r="B15" s="2">
        <f t="shared" si="0"/>
        <v>38764.581242323235</v>
      </c>
      <c r="C15" s="2">
        <f t="shared" si="1"/>
        <v>620.23329987717182</v>
      </c>
      <c r="D15" s="2">
        <v>1845</v>
      </c>
      <c r="E15" s="2">
        <f t="shared" si="2"/>
        <v>1224.7667001228283</v>
      </c>
      <c r="F15" s="2">
        <f t="shared" si="3"/>
        <v>37539.814542200409</v>
      </c>
    </row>
    <row r="16" spans="1:7" x14ac:dyDescent="0.35">
      <c r="A16" s="1">
        <v>12</v>
      </c>
      <c r="B16" s="2">
        <f t="shared" si="0"/>
        <v>37539.814542200409</v>
      </c>
      <c r="C16" s="2">
        <f t="shared" si="1"/>
        <v>600.63703267520657</v>
      </c>
      <c r="D16" s="2">
        <v>1845</v>
      </c>
      <c r="E16" s="2">
        <f t="shared" si="2"/>
        <v>1244.3629673247933</v>
      </c>
      <c r="F16" s="2">
        <f t="shared" si="3"/>
        <v>36295.451574875617</v>
      </c>
    </row>
    <row r="17" spans="1:6" x14ac:dyDescent="0.35">
      <c r="A17" s="1">
        <v>13</v>
      </c>
      <c r="B17" s="2">
        <f t="shared" si="0"/>
        <v>36295.451574875617</v>
      </c>
      <c r="C17" s="2">
        <f t="shared" si="1"/>
        <v>580.72722519800993</v>
      </c>
      <c r="D17" s="2">
        <v>1845</v>
      </c>
      <c r="E17" s="2">
        <f t="shared" si="2"/>
        <v>1264.2727748019902</v>
      </c>
      <c r="F17" s="2">
        <f t="shared" si="3"/>
        <v>35031.178800073627</v>
      </c>
    </row>
    <row r="18" spans="1:6" x14ac:dyDescent="0.35">
      <c r="A18" s="1">
        <v>14</v>
      </c>
      <c r="B18" s="2">
        <f t="shared" si="0"/>
        <v>35031.178800073627</v>
      </c>
      <c r="C18" s="2">
        <f t="shared" si="1"/>
        <v>560.49886080117813</v>
      </c>
      <c r="D18" s="2">
        <v>1845</v>
      </c>
      <c r="E18" s="2">
        <f t="shared" si="2"/>
        <v>1284.5011391988219</v>
      </c>
      <c r="F18" s="2">
        <f t="shared" si="3"/>
        <v>33746.677660874804</v>
      </c>
    </row>
    <row r="19" spans="1:6" x14ac:dyDescent="0.35">
      <c r="A19" s="1">
        <v>15</v>
      </c>
      <c r="B19" s="2">
        <f t="shared" si="0"/>
        <v>33746.677660874804</v>
      </c>
      <c r="C19" s="2">
        <f t="shared" si="1"/>
        <v>539.94684257399695</v>
      </c>
      <c r="D19" s="2">
        <v>1845</v>
      </c>
      <c r="E19" s="2">
        <f t="shared" si="2"/>
        <v>1305.0531574260031</v>
      </c>
      <c r="F19" s="2">
        <f t="shared" si="3"/>
        <v>32441.624503448802</v>
      </c>
    </row>
    <row r="20" spans="1:6" x14ac:dyDescent="0.35">
      <c r="A20" s="1">
        <v>16</v>
      </c>
      <c r="B20" s="2">
        <f t="shared" si="0"/>
        <v>32441.624503448802</v>
      </c>
      <c r="C20" s="2">
        <f t="shared" si="1"/>
        <v>519.0659920551808</v>
      </c>
      <c r="D20" s="2">
        <v>1845</v>
      </c>
      <c r="E20" s="2">
        <f t="shared" si="2"/>
        <v>1325.9340079448193</v>
      </c>
      <c r="F20" s="2">
        <f t="shared" si="3"/>
        <v>31115.690495503983</v>
      </c>
    </row>
    <row r="21" spans="1:6" x14ac:dyDescent="0.35">
      <c r="A21" s="1">
        <v>17</v>
      </c>
      <c r="B21" s="2">
        <f t="shared" si="0"/>
        <v>31115.690495503983</v>
      </c>
      <c r="C21" s="2">
        <f t="shared" si="1"/>
        <v>497.85104792806379</v>
      </c>
      <c r="D21" s="2">
        <v>1845</v>
      </c>
      <c r="E21" s="2">
        <f t="shared" si="2"/>
        <v>1347.1489520719363</v>
      </c>
      <c r="F21" s="2">
        <f t="shared" si="3"/>
        <v>29768.541543432046</v>
      </c>
    </row>
    <row r="22" spans="1:6" x14ac:dyDescent="0.35">
      <c r="A22" s="1">
        <v>18</v>
      </c>
      <c r="B22" s="2">
        <f t="shared" si="0"/>
        <v>29768.541543432046</v>
      </c>
      <c r="C22" s="2">
        <f t="shared" si="1"/>
        <v>476.29666469491275</v>
      </c>
      <c r="D22" s="2">
        <v>1845</v>
      </c>
      <c r="E22" s="2">
        <f t="shared" si="2"/>
        <v>1368.7033353050872</v>
      </c>
      <c r="F22" s="2">
        <f t="shared" si="3"/>
        <v>28399.838208126959</v>
      </c>
    </row>
    <row r="23" spans="1:6" x14ac:dyDescent="0.35">
      <c r="A23" s="1">
        <v>19</v>
      </c>
      <c r="B23" s="2">
        <f t="shared" si="0"/>
        <v>28399.838208126959</v>
      </c>
      <c r="C23" s="2">
        <f t="shared" si="1"/>
        <v>454.39741133003139</v>
      </c>
      <c r="D23" s="2">
        <v>1845</v>
      </c>
      <c r="E23" s="2">
        <f t="shared" si="2"/>
        <v>1390.6025886699686</v>
      </c>
      <c r="F23" s="2">
        <f t="shared" si="3"/>
        <v>27009.235619456991</v>
      </c>
    </row>
    <row r="24" spans="1:6" x14ac:dyDescent="0.35">
      <c r="A24" s="1">
        <v>20</v>
      </c>
      <c r="B24" s="2">
        <f t="shared" si="0"/>
        <v>27009.235619456991</v>
      </c>
      <c r="C24" s="2">
        <f t="shared" si="1"/>
        <v>432.14776991131191</v>
      </c>
      <c r="D24" s="2">
        <v>1845</v>
      </c>
      <c r="E24" s="2">
        <f t="shared" si="2"/>
        <v>1412.852230088688</v>
      </c>
      <c r="F24" s="2">
        <f t="shared" si="3"/>
        <v>25596.383389368304</v>
      </c>
    </row>
    <row r="25" spans="1:6" x14ac:dyDescent="0.35">
      <c r="A25" s="1">
        <v>21</v>
      </c>
      <c r="B25" s="2">
        <f t="shared" si="0"/>
        <v>25596.383389368304</v>
      </c>
      <c r="C25" s="2">
        <f t="shared" si="1"/>
        <v>409.54213422989289</v>
      </c>
      <c r="D25" s="2">
        <v>1845</v>
      </c>
      <c r="E25" s="2">
        <f t="shared" si="2"/>
        <v>1435.4578657701072</v>
      </c>
      <c r="F25" s="2">
        <f t="shared" si="3"/>
        <v>24160.925523598198</v>
      </c>
    </row>
    <row r="26" spans="1:6" x14ac:dyDescent="0.35">
      <c r="A26" s="1">
        <v>22</v>
      </c>
      <c r="B26" s="2">
        <f t="shared" si="0"/>
        <v>24160.925523598198</v>
      </c>
      <c r="C26" s="2">
        <f t="shared" si="1"/>
        <v>386.57480837757117</v>
      </c>
      <c r="D26" s="2">
        <v>1845</v>
      </c>
      <c r="E26" s="2">
        <f t="shared" si="2"/>
        <v>1458.4251916224289</v>
      </c>
      <c r="F26" s="2">
        <f t="shared" si="3"/>
        <v>22702.500331975771</v>
      </c>
    </row>
    <row r="27" spans="1:6" x14ac:dyDescent="0.35">
      <c r="A27" s="1">
        <v>23</v>
      </c>
      <c r="B27" s="2">
        <f t="shared" si="0"/>
        <v>22702.500331975771</v>
      </c>
      <c r="C27" s="2">
        <f t="shared" si="1"/>
        <v>363.24000531161232</v>
      </c>
      <c r="D27" s="2">
        <v>1845</v>
      </c>
      <c r="E27" s="2">
        <f t="shared" si="2"/>
        <v>1481.7599946883877</v>
      </c>
      <c r="F27" s="2">
        <f t="shared" si="3"/>
        <v>21220.740337287381</v>
      </c>
    </row>
    <row r="28" spans="1:6" x14ac:dyDescent="0.35">
      <c r="A28" s="1">
        <v>24</v>
      </c>
      <c r="B28" s="2">
        <f t="shared" si="0"/>
        <v>21220.740337287381</v>
      </c>
      <c r="C28" s="2">
        <f t="shared" si="1"/>
        <v>339.53184539659816</v>
      </c>
      <c r="D28" s="2">
        <v>1845</v>
      </c>
      <c r="E28" s="2">
        <f t="shared" si="2"/>
        <v>1505.4681546034019</v>
      </c>
      <c r="F28" s="2">
        <f t="shared" si="3"/>
        <v>19715.272182683981</v>
      </c>
    </row>
    <row r="29" spans="1:6" x14ac:dyDescent="0.35">
      <c r="A29" s="1">
        <v>25</v>
      </c>
      <c r="B29" s="2">
        <f t="shared" si="0"/>
        <v>19715.272182683981</v>
      </c>
      <c r="C29" s="2">
        <f t="shared" si="1"/>
        <v>315.44435492294372</v>
      </c>
      <c r="D29" s="2">
        <v>1845</v>
      </c>
      <c r="E29" s="2">
        <f t="shared" si="2"/>
        <v>1529.5556450770564</v>
      </c>
      <c r="F29" s="2">
        <f t="shared" si="3"/>
        <v>18185.716537606924</v>
      </c>
    </row>
    <row r="30" spans="1:6" x14ac:dyDescent="0.35">
      <c r="A30" s="1">
        <v>26</v>
      </c>
      <c r="B30" s="2">
        <f t="shared" si="0"/>
        <v>18185.716537606924</v>
      </c>
      <c r="C30" s="2">
        <f t="shared" si="1"/>
        <v>290.97146460171081</v>
      </c>
      <c r="D30" s="2">
        <v>1845</v>
      </c>
      <c r="E30" s="2">
        <f t="shared" si="2"/>
        <v>1554.0285353982893</v>
      </c>
      <c r="F30" s="2">
        <f t="shared" si="3"/>
        <v>16631.688002208633</v>
      </c>
    </row>
    <row r="31" spans="1:6" x14ac:dyDescent="0.35">
      <c r="A31" s="1">
        <v>27</v>
      </c>
      <c r="B31" s="2">
        <f t="shared" si="0"/>
        <v>16631.688002208633</v>
      </c>
      <c r="C31" s="2">
        <f t="shared" si="1"/>
        <v>266.10700803533814</v>
      </c>
      <c r="D31" s="2">
        <v>1845</v>
      </c>
      <c r="E31" s="2">
        <f t="shared" si="2"/>
        <v>1578.8929919646619</v>
      </c>
      <c r="F31" s="2">
        <f t="shared" si="3"/>
        <v>15052.795010243972</v>
      </c>
    </row>
    <row r="32" spans="1:6" x14ac:dyDescent="0.35">
      <c r="A32" s="1">
        <v>28</v>
      </c>
      <c r="B32" s="2">
        <f t="shared" si="0"/>
        <v>15052.795010243972</v>
      </c>
      <c r="C32" s="2">
        <f t="shared" si="1"/>
        <v>240.84472016390356</v>
      </c>
      <c r="D32" s="2">
        <v>1845</v>
      </c>
      <c r="E32" s="2">
        <f t="shared" si="2"/>
        <v>1604.1552798360965</v>
      </c>
      <c r="F32" s="2">
        <f t="shared" si="3"/>
        <v>13448.639730407875</v>
      </c>
    </row>
    <row r="33" spans="1:6" x14ac:dyDescent="0.35">
      <c r="A33" s="1">
        <v>29</v>
      </c>
      <c r="B33" s="2">
        <f t="shared" si="0"/>
        <v>13448.639730407875</v>
      </c>
      <c r="C33" s="2">
        <f t="shared" si="1"/>
        <v>215.17823568652602</v>
      </c>
      <c r="D33" s="2">
        <v>1845</v>
      </c>
      <c r="E33" s="2">
        <f t="shared" si="2"/>
        <v>1629.821764313474</v>
      </c>
      <c r="F33" s="2">
        <f t="shared" si="3"/>
        <v>11818.817966094401</v>
      </c>
    </row>
    <row r="34" spans="1:6" x14ac:dyDescent="0.35">
      <c r="A34" s="1">
        <v>30</v>
      </c>
      <c r="B34" s="2">
        <f t="shared" si="0"/>
        <v>11818.817966094401</v>
      </c>
      <c r="C34" s="2">
        <f t="shared" si="1"/>
        <v>189.1010874575104</v>
      </c>
      <c r="D34" s="2">
        <v>1845</v>
      </c>
      <c r="E34" s="2">
        <f t="shared" si="2"/>
        <v>1655.8989125424896</v>
      </c>
      <c r="F34" s="2">
        <f t="shared" si="3"/>
        <v>10162.919053551912</v>
      </c>
    </row>
    <row r="35" spans="1:6" x14ac:dyDescent="0.35">
      <c r="A35" s="1">
        <v>31</v>
      </c>
      <c r="B35" s="2">
        <f t="shared" si="0"/>
        <v>10162.919053551912</v>
      </c>
      <c r="C35" s="2">
        <f t="shared" si="1"/>
        <v>162.60670485683059</v>
      </c>
      <c r="D35" s="2">
        <v>1845</v>
      </c>
      <c r="E35" s="2">
        <f t="shared" si="2"/>
        <v>1682.3932951431693</v>
      </c>
      <c r="F35" s="2">
        <f t="shared" si="3"/>
        <v>8480.5257584087431</v>
      </c>
    </row>
    <row r="36" spans="1:6" x14ac:dyDescent="0.35">
      <c r="A36" s="1">
        <v>32</v>
      </c>
      <c r="B36" s="2">
        <f t="shared" si="0"/>
        <v>8480.5257584087431</v>
      </c>
      <c r="C36" s="2">
        <f t="shared" si="1"/>
        <v>135.6884121345399</v>
      </c>
      <c r="D36" s="2">
        <v>1845</v>
      </c>
      <c r="E36" s="2">
        <f t="shared" si="2"/>
        <v>1709.3115878654601</v>
      </c>
      <c r="F36" s="2">
        <f t="shared" si="3"/>
        <v>6771.2141705432832</v>
      </c>
    </row>
    <row r="37" spans="1:6" x14ac:dyDescent="0.35">
      <c r="A37" s="1">
        <v>33</v>
      </c>
      <c r="B37" s="2">
        <f t="shared" si="0"/>
        <v>6771.2141705432832</v>
      </c>
      <c r="C37" s="2">
        <f t="shared" si="1"/>
        <v>108.33942672869254</v>
      </c>
      <c r="D37" s="2">
        <v>1845</v>
      </c>
      <c r="E37" s="2">
        <f t="shared" si="2"/>
        <v>1736.6605732713074</v>
      </c>
      <c r="F37" s="2">
        <f t="shared" si="3"/>
        <v>5034.5535972719754</v>
      </c>
    </row>
    <row r="38" spans="1:6" x14ac:dyDescent="0.35">
      <c r="A38" s="1">
        <v>34</v>
      </c>
      <c r="B38" s="2">
        <f t="shared" si="0"/>
        <v>5034.5535972719754</v>
      </c>
      <c r="C38" s="2">
        <f t="shared" si="1"/>
        <v>80.552857556351611</v>
      </c>
      <c r="D38" s="2">
        <v>1845</v>
      </c>
      <c r="E38" s="2">
        <f t="shared" si="2"/>
        <v>1764.4471424436483</v>
      </c>
      <c r="F38" s="2">
        <f t="shared" si="3"/>
        <v>3270.1064548283271</v>
      </c>
    </row>
    <row r="39" spans="1:6" x14ac:dyDescent="0.35">
      <c r="A39" s="1">
        <v>35</v>
      </c>
      <c r="B39" s="2">
        <f t="shared" si="0"/>
        <v>3270.1064548283271</v>
      </c>
      <c r="C39" s="2">
        <f t="shared" si="1"/>
        <v>52.321703277253235</v>
      </c>
      <c r="D39" s="2">
        <v>1845</v>
      </c>
      <c r="E39" s="2">
        <f t="shared" si="2"/>
        <v>1792.6782967227468</v>
      </c>
      <c r="F39" s="2">
        <f t="shared" si="3"/>
        <v>1477.4281581055802</v>
      </c>
    </row>
    <row r="40" spans="1:6" x14ac:dyDescent="0.35">
      <c r="A40" s="1">
        <v>36</v>
      </c>
      <c r="B40" s="2">
        <f t="shared" si="0"/>
        <v>1477.4281581055802</v>
      </c>
      <c r="C40" s="2">
        <f t="shared" si="1"/>
        <v>23.638850529689286</v>
      </c>
      <c r="D40" s="2">
        <v>1845</v>
      </c>
      <c r="E40" s="2">
        <f t="shared" si="2"/>
        <v>1821.3611494703107</v>
      </c>
      <c r="F40" s="2">
        <f t="shared" si="3"/>
        <v>-343.93299136473047</v>
      </c>
    </row>
  </sheetData>
  <pageMargins left="0.7" right="0.7" top="0.75" bottom="0.75" header="0.3" footer="0.3"/>
  <ignoredErrors>
    <ignoredError sqref="C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workbookViewId="0">
      <selection activeCell="B4" sqref="B4"/>
    </sheetView>
  </sheetViews>
  <sheetFormatPr defaultRowHeight="14.5" x14ac:dyDescent="0.35"/>
  <cols>
    <col min="1" max="1" width="8.7265625" style="1"/>
    <col min="2" max="2" width="11.81640625" style="1" bestFit="1" customWidth="1"/>
    <col min="3" max="3" width="14.36328125" style="1" bestFit="1" customWidth="1"/>
    <col min="4" max="4" width="11.90625" style="1" bestFit="1" customWidth="1"/>
    <col min="5" max="5" width="15" style="1" bestFit="1" customWidth="1"/>
    <col min="6" max="6" width="14.36328125" style="1" bestFit="1" customWidth="1"/>
    <col min="7" max="7" width="8.7265625" style="1"/>
    <col min="8" max="8" width="11.36328125" style="1" bestFit="1" customWidth="1"/>
    <col min="9" max="16384" width="8.7265625" style="1"/>
  </cols>
  <sheetData>
    <row r="1" spans="1:9" x14ac:dyDescent="0.35">
      <c r="B1" s="9" t="s">
        <v>8</v>
      </c>
      <c r="C1" s="9">
        <v>70000</v>
      </c>
      <c r="E1" s="10" t="s">
        <v>11</v>
      </c>
      <c r="F1" s="10">
        <v>2.2000000000000002</v>
      </c>
      <c r="H1" s="9" t="s">
        <v>5</v>
      </c>
      <c r="I1" s="9">
        <v>3795</v>
      </c>
    </row>
    <row r="3" spans="1:9" x14ac:dyDescent="0.35">
      <c r="A3" s="3" t="s">
        <v>1</v>
      </c>
      <c r="B3" s="3" t="s">
        <v>0</v>
      </c>
      <c r="C3" s="3" t="s">
        <v>2</v>
      </c>
      <c r="D3" s="3" t="s">
        <v>7</v>
      </c>
      <c r="E3" s="3" t="s">
        <v>6</v>
      </c>
      <c r="F3" s="3" t="s">
        <v>3</v>
      </c>
    </row>
    <row r="4" spans="1:9" x14ac:dyDescent="0.35">
      <c r="A4" s="1">
        <v>1</v>
      </c>
      <c r="B4" s="2">
        <f>C1</f>
        <v>70000</v>
      </c>
      <c r="C4" s="2">
        <f>B4*$F$1/100</f>
        <v>1540</v>
      </c>
      <c r="D4" s="2">
        <f>$I$1</f>
        <v>3795</v>
      </c>
      <c r="E4" s="2">
        <f>D4-C4</f>
        <v>2255</v>
      </c>
      <c r="F4" s="2">
        <f>B4-E4</f>
        <v>67745</v>
      </c>
    </row>
    <row r="5" spans="1:9" x14ac:dyDescent="0.35">
      <c r="A5" s="1">
        <v>2</v>
      </c>
      <c r="B5" s="2">
        <f>F4</f>
        <v>67745</v>
      </c>
      <c r="C5" s="2">
        <f>B5*$F$1/100</f>
        <v>1490.39</v>
      </c>
      <c r="D5" s="2">
        <f t="shared" ref="D5:D27" si="0">$I$1</f>
        <v>3795</v>
      </c>
      <c r="E5" s="2">
        <f>D5-C5</f>
        <v>2304.6099999999997</v>
      </c>
      <c r="F5" s="2">
        <f>B5-E5</f>
        <v>65440.39</v>
      </c>
    </row>
    <row r="6" spans="1:9" x14ac:dyDescent="0.35">
      <c r="A6" s="1">
        <v>3</v>
      </c>
      <c r="B6" s="2">
        <f t="shared" ref="B6:B27" si="1">F5</f>
        <v>65440.39</v>
      </c>
      <c r="C6" s="2">
        <f t="shared" ref="C6:C26" si="2">B6*$F$1/100</f>
        <v>1439.68858</v>
      </c>
      <c r="D6" s="2">
        <f t="shared" si="0"/>
        <v>3795</v>
      </c>
      <c r="E6" s="2">
        <f t="shared" ref="E6:E27" si="3">D6-C6</f>
        <v>2355.31142</v>
      </c>
      <c r="F6" s="2">
        <f t="shared" ref="F6:F27" si="4">B6-E6</f>
        <v>63085.078580000001</v>
      </c>
    </row>
    <row r="7" spans="1:9" x14ac:dyDescent="0.35">
      <c r="A7" s="1">
        <v>4</v>
      </c>
      <c r="B7" s="2">
        <f t="shared" si="1"/>
        <v>63085.078580000001</v>
      </c>
      <c r="C7" s="2">
        <f t="shared" si="2"/>
        <v>1387.8717287600002</v>
      </c>
      <c r="D7" s="2">
        <f t="shared" si="0"/>
        <v>3795</v>
      </c>
      <c r="E7" s="2">
        <f t="shared" si="3"/>
        <v>2407.1282712399998</v>
      </c>
      <c r="F7" s="2">
        <f t="shared" si="4"/>
        <v>60677.950308760002</v>
      </c>
    </row>
    <row r="8" spans="1:9" x14ac:dyDescent="0.35">
      <c r="A8" s="1">
        <v>5</v>
      </c>
      <c r="B8" s="2">
        <f t="shared" si="1"/>
        <v>60677.950308760002</v>
      </c>
      <c r="C8" s="2">
        <f t="shared" si="2"/>
        <v>1334.9149067927201</v>
      </c>
      <c r="D8" s="2">
        <f t="shared" si="0"/>
        <v>3795</v>
      </c>
      <c r="E8" s="2">
        <f t="shared" si="3"/>
        <v>2460.0850932072799</v>
      </c>
      <c r="F8" s="2">
        <f t="shared" si="4"/>
        <v>58217.865215552723</v>
      </c>
    </row>
    <row r="9" spans="1:9" x14ac:dyDescent="0.35">
      <c r="A9" s="1">
        <v>6</v>
      </c>
      <c r="B9" s="2">
        <f t="shared" si="1"/>
        <v>58217.865215552723</v>
      </c>
      <c r="C9" s="2">
        <f t="shared" si="2"/>
        <v>1280.79303474216</v>
      </c>
      <c r="D9" s="2">
        <f t="shared" si="0"/>
        <v>3795</v>
      </c>
      <c r="E9" s="2">
        <f t="shared" si="3"/>
        <v>2514.2069652578402</v>
      </c>
      <c r="F9" s="2">
        <f t="shared" si="4"/>
        <v>55703.65825029488</v>
      </c>
    </row>
    <row r="10" spans="1:9" x14ac:dyDescent="0.35">
      <c r="A10" s="1">
        <v>7</v>
      </c>
      <c r="B10" s="2">
        <f t="shared" si="1"/>
        <v>55703.65825029488</v>
      </c>
      <c r="C10" s="2">
        <f t="shared" si="2"/>
        <v>1225.4804815064874</v>
      </c>
      <c r="D10" s="2">
        <f t="shared" si="0"/>
        <v>3795</v>
      </c>
      <c r="E10" s="2">
        <f t="shared" si="3"/>
        <v>2569.5195184935128</v>
      </c>
      <c r="F10" s="2">
        <f t="shared" si="4"/>
        <v>53134.138731801366</v>
      </c>
    </row>
    <row r="11" spans="1:9" x14ac:dyDescent="0.35">
      <c r="A11" s="1">
        <v>8</v>
      </c>
      <c r="B11" s="2">
        <f t="shared" si="1"/>
        <v>53134.138731801366</v>
      </c>
      <c r="C11" s="2">
        <f t="shared" si="2"/>
        <v>1168.9510520996303</v>
      </c>
      <c r="D11" s="2">
        <f t="shared" si="0"/>
        <v>3795</v>
      </c>
      <c r="E11" s="2">
        <f t="shared" si="3"/>
        <v>2626.04894790037</v>
      </c>
      <c r="F11" s="2">
        <f t="shared" si="4"/>
        <v>50508.089783900999</v>
      </c>
    </row>
    <row r="12" spans="1:9" x14ac:dyDescent="0.35">
      <c r="A12" s="1">
        <v>9</v>
      </c>
      <c r="B12" s="2">
        <f t="shared" si="1"/>
        <v>50508.089783900999</v>
      </c>
      <c r="C12" s="2">
        <f t="shared" si="2"/>
        <v>1111.1779752458219</v>
      </c>
      <c r="D12" s="2">
        <f t="shared" si="0"/>
        <v>3795</v>
      </c>
      <c r="E12" s="2">
        <f t="shared" si="3"/>
        <v>2683.8220247541781</v>
      </c>
      <c r="F12" s="2">
        <f t="shared" si="4"/>
        <v>47824.267759146824</v>
      </c>
    </row>
    <row r="13" spans="1:9" x14ac:dyDescent="0.35">
      <c r="A13" s="1">
        <v>10</v>
      </c>
      <c r="B13" s="2">
        <f t="shared" si="1"/>
        <v>47824.267759146824</v>
      </c>
      <c r="C13" s="2">
        <f t="shared" si="2"/>
        <v>1052.1338907012303</v>
      </c>
      <c r="D13" s="2">
        <f t="shared" si="0"/>
        <v>3795</v>
      </c>
      <c r="E13" s="2">
        <f t="shared" si="3"/>
        <v>2742.8661092987695</v>
      </c>
      <c r="F13" s="2">
        <f t="shared" si="4"/>
        <v>45081.401649848056</v>
      </c>
    </row>
    <row r="14" spans="1:9" x14ac:dyDescent="0.35">
      <c r="A14" s="1">
        <v>11</v>
      </c>
      <c r="B14" s="2">
        <f t="shared" si="1"/>
        <v>45081.401649848056</v>
      </c>
      <c r="C14" s="2">
        <f t="shared" si="2"/>
        <v>991.7908362966574</v>
      </c>
      <c r="D14" s="2">
        <f t="shared" si="0"/>
        <v>3795</v>
      </c>
      <c r="E14" s="2">
        <f t="shared" si="3"/>
        <v>2803.2091637033427</v>
      </c>
      <c r="F14" s="2">
        <f t="shared" si="4"/>
        <v>42278.192486144711</v>
      </c>
    </row>
    <row r="15" spans="1:9" x14ac:dyDescent="0.35">
      <c r="A15" s="1">
        <v>12</v>
      </c>
      <c r="B15" s="2">
        <f t="shared" si="1"/>
        <v>42278.192486144711</v>
      </c>
      <c r="C15" s="2">
        <f t="shared" si="2"/>
        <v>930.12023469518374</v>
      </c>
      <c r="D15" s="2">
        <f t="shared" si="0"/>
        <v>3795</v>
      </c>
      <c r="E15" s="2">
        <f t="shared" si="3"/>
        <v>2864.8797653048164</v>
      </c>
      <c r="F15" s="2">
        <f t="shared" si="4"/>
        <v>39413.312720839895</v>
      </c>
    </row>
    <row r="16" spans="1:9" x14ac:dyDescent="0.35">
      <c r="A16" s="1">
        <v>13</v>
      </c>
      <c r="B16" s="2">
        <f t="shared" si="1"/>
        <v>39413.312720839895</v>
      </c>
      <c r="C16" s="2">
        <f t="shared" si="2"/>
        <v>867.09287985847766</v>
      </c>
      <c r="D16" s="2">
        <f t="shared" si="0"/>
        <v>3795</v>
      </c>
      <c r="E16" s="2">
        <f t="shared" si="3"/>
        <v>2927.9071201415222</v>
      </c>
      <c r="F16" s="2">
        <f t="shared" si="4"/>
        <v>36485.405600698374</v>
      </c>
    </row>
    <row r="17" spans="1:6" x14ac:dyDescent="0.35">
      <c r="A17" s="1">
        <v>14</v>
      </c>
      <c r="B17" s="2">
        <f t="shared" si="1"/>
        <v>36485.405600698374</v>
      </c>
      <c r="C17" s="2">
        <f t="shared" si="2"/>
        <v>802.67892321536431</v>
      </c>
      <c r="D17" s="2">
        <f t="shared" si="0"/>
        <v>3795</v>
      </c>
      <c r="E17" s="2">
        <f t="shared" si="3"/>
        <v>2992.3210767846358</v>
      </c>
      <c r="F17" s="2">
        <f t="shared" si="4"/>
        <v>33493.084523913742</v>
      </c>
    </row>
    <row r="18" spans="1:6" x14ac:dyDescent="0.35">
      <c r="A18" s="1">
        <v>15</v>
      </c>
      <c r="B18" s="2">
        <f t="shared" si="1"/>
        <v>33493.084523913742</v>
      </c>
      <c r="C18" s="2">
        <f t="shared" si="2"/>
        <v>736.84785952610241</v>
      </c>
      <c r="D18" s="2">
        <f t="shared" si="0"/>
        <v>3795</v>
      </c>
      <c r="E18" s="2">
        <f t="shared" si="3"/>
        <v>3058.1521404738978</v>
      </c>
      <c r="F18" s="2">
        <f t="shared" si="4"/>
        <v>30434.932383439846</v>
      </c>
    </row>
    <row r="19" spans="1:6" x14ac:dyDescent="0.35">
      <c r="A19" s="1">
        <v>16</v>
      </c>
      <c r="B19" s="2">
        <f t="shared" si="1"/>
        <v>30434.932383439846</v>
      </c>
      <c r="C19" s="2">
        <f t="shared" si="2"/>
        <v>669.56851243567667</v>
      </c>
      <c r="D19" s="2">
        <f t="shared" si="0"/>
        <v>3795</v>
      </c>
      <c r="E19" s="2">
        <f t="shared" si="3"/>
        <v>3125.4314875643231</v>
      </c>
      <c r="F19" s="2">
        <f t="shared" si="4"/>
        <v>27309.500895875521</v>
      </c>
    </row>
    <row r="20" spans="1:6" x14ac:dyDescent="0.35">
      <c r="A20" s="1">
        <v>17</v>
      </c>
      <c r="B20" s="2">
        <f t="shared" si="1"/>
        <v>27309.500895875521</v>
      </c>
      <c r="C20" s="2">
        <f t="shared" si="2"/>
        <v>600.80901970926152</v>
      </c>
      <c r="D20" s="2">
        <f t="shared" si="0"/>
        <v>3795</v>
      </c>
      <c r="E20" s="2">
        <f t="shared" si="3"/>
        <v>3194.1909802907385</v>
      </c>
      <c r="F20" s="2">
        <f t="shared" si="4"/>
        <v>24115.309915584781</v>
      </c>
    </row>
    <row r="21" spans="1:6" x14ac:dyDescent="0.35">
      <c r="A21" s="1">
        <v>18</v>
      </c>
      <c r="B21" s="2">
        <f t="shared" si="1"/>
        <v>24115.309915584781</v>
      </c>
      <c r="C21" s="2">
        <f t="shared" si="2"/>
        <v>530.53681814286529</v>
      </c>
      <c r="D21" s="2">
        <f t="shared" si="0"/>
        <v>3795</v>
      </c>
      <c r="E21" s="2">
        <f t="shared" si="3"/>
        <v>3264.4631818571347</v>
      </c>
      <c r="F21" s="2">
        <f t="shared" si="4"/>
        <v>20850.846733727645</v>
      </c>
    </row>
    <row r="22" spans="1:6" x14ac:dyDescent="0.35">
      <c r="A22" s="1">
        <v>19</v>
      </c>
      <c r="B22" s="2">
        <f t="shared" si="1"/>
        <v>20850.846733727645</v>
      </c>
      <c r="C22" s="2">
        <f t="shared" si="2"/>
        <v>458.71862814200824</v>
      </c>
      <c r="D22" s="2">
        <f t="shared" si="0"/>
        <v>3795</v>
      </c>
      <c r="E22" s="2">
        <f t="shared" si="3"/>
        <v>3336.2813718579919</v>
      </c>
      <c r="F22" s="2">
        <f t="shared" si="4"/>
        <v>17514.565361869652</v>
      </c>
    </row>
    <row r="23" spans="1:6" x14ac:dyDescent="0.35">
      <c r="A23" s="1">
        <v>20</v>
      </c>
      <c r="B23" s="2">
        <f t="shared" si="1"/>
        <v>17514.565361869652</v>
      </c>
      <c r="C23" s="2">
        <f t="shared" si="2"/>
        <v>385.32043796113243</v>
      </c>
      <c r="D23" s="2">
        <f t="shared" si="0"/>
        <v>3795</v>
      </c>
      <c r="E23" s="2">
        <f t="shared" si="3"/>
        <v>3409.6795620388675</v>
      </c>
      <c r="F23" s="2">
        <f t="shared" si="4"/>
        <v>14104.885799830785</v>
      </c>
    </row>
    <row r="24" spans="1:6" x14ac:dyDescent="0.35">
      <c r="A24" s="1">
        <v>21</v>
      </c>
      <c r="B24" s="2">
        <f t="shared" si="1"/>
        <v>14104.885799830785</v>
      </c>
      <c r="C24" s="2">
        <f t="shared" si="2"/>
        <v>310.30748759627727</v>
      </c>
      <c r="D24" s="2">
        <f t="shared" si="0"/>
        <v>3795</v>
      </c>
      <c r="E24" s="2">
        <f t="shared" si="3"/>
        <v>3484.6925124037225</v>
      </c>
      <c r="F24" s="2">
        <f t="shared" si="4"/>
        <v>10620.193287427062</v>
      </c>
    </row>
    <row r="25" spans="1:6" x14ac:dyDescent="0.35">
      <c r="A25" s="1">
        <v>22</v>
      </c>
      <c r="B25" s="2">
        <f t="shared" si="1"/>
        <v>10620.193287427062</v>
      </c>
      <c r="C25" s="2">
        <f t="shared" si="2"/>
        <v>233.64425232339536</v>
      </c>
      <c r="D25" s="2">
        <f t="shared" si="0"/>
        <v>3795</v>
      </c>
      <c r="E25" s="2">
        <f t="shared" si="3"/>
        <v>3561.3557476766046</v>
      </c>
      <c r="F25" s="2">
        <f t="shared" si="4"/>
        <v>7058.8375397504578</v>
      </c>
    </row>
    <row r="26" spans="1:6" x14ac:dyDescent="0.35">
      <c r="A26" s="1">
        <v>23</v>
      </c>
      <c r="B26" s="2">
        <f t="shared" si="1"/>
        <v>7058.8375397504578</v>
      </c>
      <c r="C26" s="2">
        <f t="shared" si="2"/>
        <v>155.2944258745101</v>
      </c>
      <c r="D26" s="2">
        <f t="shared" si="0"/>
        <v>3795</v>
      </c>
      <c r="E26" s="2">
        <f t="shared" si="3"/>
        <v>3639.7055741254899</v>
      </c>
      <c r="F26" s="2">
        <f t="shared" si="4"/>
        <v>3419.131965624968</v>
      </c>
    </row>
    <row r="27" spans="1:6" x14ac:dyDescent="0.35">
      <c r="A27" s="1">
        <v>24</v>
      </c>
      <c r="B27" s="2">
        <f t="shared" si="1"/>
        <v>3419.131965624968</v>
      </c>
      <c r="C27" s="2">
        <f>B27*$F$1/100</f>
        <v>75.220903243749305</v>
      </c>
      <c r="D27" s="2">
        <f t="shared" si="0"/>
        <v>3795</v>
      </c>
      <c r="E27" s="2">
        <f t="shared" si="3"/>
        <v>3719.7790967562505</v>
      </c>
      <c r="F27" s="2">
        <f t="shared" si="4"/>
        <v>-300.64713113128255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8"/>
  <sheetViews>
    <sheetView workbookViewId="0">
      <selection activeCell="F8" sqref="F8"/>
    </sheetView>
  </sheetViews>
  <sheetFormatPr defaultRowHeight="14.5" x14ac:dyDescent="0.35"/>
  <cols>
    <col min="2" max="2" width="19.54296875" bestFit="1" customWidth="1"/>
  </cols>
  <sheetData>
    <row r="3" spans="2:5" x14ac:dyDescent="0.35">
      <c r="B3" t="s">
        <v>13</v>
      </c>
      <c r="C3">
        <v>100000</v>
      </c>
    </row>
    <row r="4" spans="2:5" x14ac:dyDescent="0.35">
      <c r="B4" t="s">
        <v>12</v>
      </c>
      <c r="C4" s="4">
        <v>10</v>
      </c>
    </row>
    <row r="5" spans="2:5" x14ac:dyDescent="0.35">
      <c r="B5" t="s">
        <v>14</v>
      </c>
      <c r="C5">
        <v>3</v>
      </c>
    </row>
    <row r="7" spans="2:5" x14ac:dyDescent="0.35">
      <c r="B7" s="6" t="s">
        <v>15</v>
      </c>
      <c r="C7" s="6">
        <f>prn+(prn*noy*ir)/100</f>
        <v>130000</v>
      </c>
    </row>
    <row r="8" spans="2:5" x14ac:dyDescent="0.35">
      <c r="B8" s="6" t="s">
        <v>16</v>
      </c>
      <c r="C8" s="6">
        <f>prn*(1+(ir/100))^noy</f>
        <v>133100.00000000003</v>
      </c>
      <c r="E8" s="5">
        <f>C8-C7</f>
        <v>3100.0000000000291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7"/>
  <sheetViews>
    <sheetView workbookViewId="0">
      <selection activeCell="L13" sqref="L13"/>
    </sheetView>
  </sheetViews>
  <sheetFormatPr defaultRowHeight="14.5" x14ac:dyDescent="0.35"/>
  <cols>
    <col min="1" max="1" width="8.7265625" style="12"/>
    <col min="2" max="2" width="12.36328125" style="12" bestFit="1" customWidth="1"/>
    <col min="3" max="3" width="12.36328125" style="12" customWidth="1"/>
    <col min="4" max="4" width="11" style="12" bestFit="1" customWidth="1"/>
    <col min="5" max="5" width="14.26953125" style="12" bestFit="1" customWidth="1"/>
    <col min="6" max="6" width="11.6328125" style="12" bestFit="1" customWidth="1"/>
    <col min="7" max="7" width="12.08984375" style="12" bestFit="1" customWidth="1"/>
    <col min="8" max="8" width="12.36328125" style="12" bestFit="1" customWidth="1"/>
    <col min="9" max="9" width="9.36328125" style="12" bestFit="1" customWidth="1"/>
    <col min="10" max="10" width="12.08984375" style="12" bestFit="1" customWidth="1"/>
    <col min="11" max="11" width="16.7265625" style="12" bestFit="1" customWidth="1"/>
    <col min="12" max="12" width="9.36328125" style="12" bestFit="1" customWidth="1"/>
    <col min="13" max="13" width="18.54296875" style="12" customWidth="1"/>
    <col min="14" max="16384" width="8.7265625" style="12"/>
  </cols>
  <sheetData>
    <row r="1" spans="1:12" x14ac:dyDescent="0.35">
      <c r="B1" s="15"/>
      <c r="C1" s="13" t="s">
        <v>7</v>
      </c>
      <c r="D1" s="13">
        <v>1000</v>
      </c>
      <c r="E1" s="15"/>
      <c r="G1" s="13" t="s">
        <v>17</v>
      </c>
      <c r="H1" s="13">
        <v>84</v>
      </c>
      <c r="J1" s="13" t="s">
        <v>18</v>
      </c>
      <c r="K1" s="14">
        <v>0.75</v>
      </c>
    </row>
    <row r="3" spans="1:12" x14ac:dyDescent="0.35">
      <c r="A3" s="16" t="s">
        <v>19</v>
      </c>
      <c r="B3" s="16" t="s">
        <v>20</v>
      </c>
      <c r="C3" s="16" t="s">
        <v>22</v>
      </c>
      <c r="D3" s="16" t="s">
        <v>18</v>
      </c>
      <c r="E3" s="16" t="s">
        <v>23</v>
      </c>
      <c r="F3" s="16" t="s">
        <v>21</v>
      </c>
    </row>
    <row r="4" spans="1:12" x14ac:dyDescent="0.35">
      <c r="A4" s="12">
        <v>1</v>
      </c>
      <c r="B4" s="11">
        <f>$D$1</f>
        <v>1000</v>
      </c>
      <c r="C4" s="11">
        <v>0</v>
      </c>
      <c r="D4" s="11">
        <f>$K$1</f>
        <v>0.75</v>
      </c>
      <c r="E4" s="11">
        <f>B4*D4/100</f>
        <v>7.5</v>
      </c>
      <c r="F4" s="11">
        <f>B4+E4</f>
        <v>1007.5</v>
      </c>
    </row>
    <row r="5" spans="1:12" x14ac:dyDescent="0.35">
      <c r="A5" s="12">
        <v>2</v>
      </c>
      <c r="B5" s="11">
        <f t="shared" ref="B5:B68" si="0">$D$1</f>
        <v>1000</v>
      </c>
      <c r="C5" s="11">
        <f>F4</f>
        <v>1007.5</v>
      </c>
      <c r="D5" s="11">
        <f t="shared" ref="D5:D68" si="1">$K$1</f>
        <v>0.75</v>
      </c>
      <c r="E5" s="11">
        <f>C5*D5/100</f>
        <v>7.5562500000000004</v>
      </c>
      <c r="F5" s="11">
        <f>B5+C5+E5</f>
        <v>2015.0562500000001</v>
      </c>
    </row>
    <row r="6" spans="1:12" x14ac:dyDescent="0.35">
      <c r="A6" s="12">
        <v>3</v>
      </c>
      <c r="B6" s="11">
        <f t="shared" si="0"/>
        <v>1000</v>
      </c>
      <c r="C6" s="11">
        <f>F5</f>
        <v>2015.0562500000001</v>
      </c>
      <c r="D6" s="11">
        <f t="shared" si="1"/>
        <v>0.75</v>
      </c>
      <c r="E6" s="11">
        <f>C6*D6/100</f>
        <v>15.112921875000001</v>
      </c>
      <c r="F6" s="11">
        <f t="shared" ref="F6:F69" si="2">B6+C6+E6</f>
        <v>3030.1691718750003</v>
      </c>
      <c r="J6" s="19" t="s">
        <v>7</v>
      </c>
      <c r="K6" s="19">
        <v>100000</v>
      </c>
    </row>
    <row r="7" spans="1:12" x14ac:dyDescent="0.35">
      <c r="A7" s="12">
        <v>4</v>
      </c>
      <c r="B7" s="11">
        <f t="shared" si="0"/>
        <v>1000</v>
      </c>
      <c r="C7" s="11">
        <f t="shared" ref="C7:C70" si="3">F6</f>
        <v>3030.1691718750003</v>
      </c>
      <c r="D7" s="11">
        <f t="shared" si="1"/>
        <v>0.75</v>
      </c>
      <c r="E7" s="11">
        <f t="shared" ref="E7:E70" si="4">C7*D7/100</f>
        <v>22.726268789062502</v>
      </c>
      <c r="F7" s="11">
        <f t="shared" si="2"/>
        <v>4052.8954406640628</v>
      </c>
      <c r="H7" s="12" t="s">
        <v>27</v>
      </c>
      <c r="J7" s="19" t="s">
        <v>18</v>
      </c>
      <c r="K7" s="20">
        <v>1</v>
      </c>
    </row>
    <row r="8" spans="1:12" x14ac:dyDescent="0.35">
      <c r="A8" s="12">
        <v>5</v>
      </c>
      <c r="B8" s="11">
        <f t="shared" si="0"/>
        <v>1000</v>
      </c>
      <c r="C8" s="11">
        <f t="shared" si="3"/>
        <v>4052.8954406640628</v>
      </c>
      <c r="D8" s="11">
        <f t="shared" si="1"/>
        <v>0.75</v>
      </c>
      <c r="E8" s="11">
        <f t="shared" si="4"/>
        <v>30.396715804980474</v>
      </c>
      <c r="F8" s="11">
        <f t="shared" si="2"/>
        <v>5083.2921564690432</v>
      </c>
      <c r="J8" s="19" t="s">
        <v>17</v>
      </c>
      <c r="K8" s="19">
        <v>7</v>
      </c>
    </row>
    <row r="9" spans="1:12" x14ac:dyDescent="0.35">
      <c r="A9" s="12">
        <v>6</v>
      </c>
      <c r="B9" s="11">
        <f t="shared" si="0"/>
        <v>1000</v>
      </c>
      <c r="C9" s="11">
        <f t="shared" si="3"/>
        <v>5083.2921564690432</v>
      </c>
      <c r="D9" s="11">
        <f t="shared" si="1"/>
        <v>0.75</v>
      </c>
      <c r="E9" s="11">
        <f t="shared" si="4"/>
        <v>38.124691173517824</v>
      </c>
      <c r="F9" s="11">
        <f t="shared" si="2"/>
        <v>6121.4168476425612</v>
      </c>
      <c r="H9" s="18"/>
      <c r="I9" s="18"/>
    </row>
    <row r="10" spans="1:12" x14ac:dyDescent="0.35">
      <c r="A10" s="12">
        <v>7</v>
      </c>
      <c r="B10" s="11">
        <f t="shared" si="0"/>
        <v>1000</v>
      </c>
      <c r="C10" s="11">
        <f t="shared" si="3"/>
        <v>6121.4168476425612</v>
      </c>
      <c r="D10" s="11">
        <f t="shared" si="1"/>
        <v>0.75</v>
      </c>
      <c r="E10" s="11">
        <f t="shared" si="4"/>
        <v>45.910626357319209</v>
      </c>
      <c r="F10" s="11">
        <f t="shared" si="2"/>
        <v>7167.3274739998806</v>
      </c>
      <c r="H10" s="18"/>
      <c r="I10" s="18"/>
    </row>
    <row r="11" spans="1:12" x14ac:dyDescent="0.35">
      <c r="A11" s="12">
        <v>8</v>
      </c>
      <c r="B11" s="11">
        <f t="shared" si="0"/>
        <v>1000</v>
      </c>
      <c r="C11" s="11">
        <f t="shared" si="3"/>
        <v>7167.3274739998806</v>
      </c>
      <c r="D11" s="11">
        <f t="shared" si="1"/>
        <v>0.75</v>
      </c>
      <c r="E11" s="11">
        <f t="shared" si="4"/>
        <v>53.754956054999099</v>
      </c>
      <c r="F11" s="11">
        <f t="shared" si="2"/>
        <v>8221.0824300548793</v>
      </c>
      <c r="H11" s="18"/>
      <c r="I11" s="18"/>
      <c r="K11" s="21" t="s">
        <v>28</v>
      </c>
      <c r="L11" s="21">
        <f>(mon*(1+(int/100))^no)</f>
        <v>107213.53521070098</v>
      </c>
    </row>
    <row r="12" spans="1:12" x14ac:dyDescent="0.35">
      <c r="A12" s="12">
        <v>9</v>
      </c>
      <c r="B12" s="11">
        <f t="shared" si="0"/>
        <v>1000</v>
      </c>
      <c r="C12" s="11">
        <f t="shared" si="3"/>
        <v>8221.0824300548793</v>
      </c>
      <c r="D12" s="11">
        <f t="shared" si="1"/>
        <v>0.75</v>
      </c>
      <c r="E12" s="11">
        <f t="shared" si="4"/>
        <v>61.658118225411599</v>
      </c>
      <c r="F12" s="11">
        <f t="shared" si="2"/>
        <v>9282.7405482802915</v>
      </c>
      <c r="K12" s="21"/>
      <c r="L12" s="21"/>
    </row>
    <row r="13" spans="1:12" x14ac:dyDescent="0.35">
      <c r="A13" s="12">
        <v>10</v>
      </c>
      <c r="B13" s="11">
        <f t="shared" si="0"/>
        <v>1000</v>
      </c>
      <c r="C13" s="11">
        <f t="shared" si="3"/>
        <v>9282.7405482802915</v>
      </c>
      <c r="D13" s="11">
        <f t="shared" si="1"/>
        <v>0.75</v>
      </c>
      <c r="E13" s="11">
        <f t="shared" si="4"/>
        <v>69.620554112102184</v>
      </c>
      <c r="F13" s="11">
        <f t="shared" si="2"/>
        <v>10352.361102392393</v>
      </c>
      <c r="K13" s="21"/>
      <c r="L13" s="21">
        <f>L11-K6</f>
        <v>7213.5352107009821</v>
      </c>
    </row>
    <row r="14" spans="1:12" x14ac:dyDescent="0.35">
      <c r="A14" s="12">
        <v>11</v>
      </c>
      <c r="B14" s="11">
        <f t="shared" si="0"/>
        <v>1000</v>
      </c>
      <c r="C14" s="11">
        <f t="shared" si="3"/>
        <v>10352.361102392393</v>
      </c>
      <c r="D14" s="11">
        <f t="shared" si="1"/>
        <v>0.75</v>
      </c>
      <c r="E14" s="11">
        <f t="shared" si="4"/>
        <v>77.64270826794295</v>
      </c>
      <c r="F14" s="11">
        <f t="shared" si="2"/>
        <v>11430.003810660337</v>
      </c>
    </row>
    <row r="15" spans="1:12" x14ac:dyDescent="0.35">
      <c r="A15" s="12">
        <v>12</v>
      </c>
      <c r="B15" s="11">
        <f t="shared" si="0"/>
        <v>1000</v>
      </c>
      <c r="C15" s="11">
        <f t="shared" si="3"/>
        <v>11430.003810660337</v>
      </c>
      <c r="D15" s="11">
        <f t="shared" si="1"/>
        <v>0.75</v>
      </c>
      <c r="E15" s="11">
        <f t="shared" si="4"/>
        <v>85.725028579952522</v>
      </c>
      <c r="F15" s="11">
        <f t="shared" si="2"/>
        <v>12515.72883924029</v>
      </c>
      <c r="H15" s="17" t="s">
        <v>24</v>
      </c>
      <c r="I15" s="17"/>
    </row>
    <row r="16" spans="1:12" x14ac:dyDescent="0.35">
      <c r="A16" s="12">
        <v>13</v>
      </c>
      <c r="B16" s="11">
        <f t="shared" si="0"/>
        <v>1000</v>
      </c>
      <c r="C16" s="11">
        <f t="shared" si="3"/>
        <v>12515.72883924029</v>
      </c>
      <c r="D16" s="11">
        <f t="shared" si="1"/>
        <v>0.75</v>
      </c>
      <c r="E16" s="11">
        <f t="shared" si="4"/>
        <v>93.867966294302164</v>
      </c>
      <c r="F16" s="11">
        <f t="shared" si="2"/>
        <v>13609.596805534591</v>
      </c>
      <c r="H16" s="17" t="s">
        <v>25</v>
      </c>
      <c r="I16" s="17">
        <v>32440.87</v>
      </c>
    </row>
    <row r="17" spans="1:9" x14ac:dyDescent="0.35">
      <c r="A17" s="12">
        <v>14</v>
      </c>
      <c r="B17" s="11">
        <f t="shared" si="0"/>
        <v>1000</v>
      </c>
      <c r="C17" s="11">
        <f t="shared" si="3"/>
        <v>13609.596805534591</v>
      </c>
      <c r="D17" s="11">
        <f t="shared" si="1"/>
        <v>0.75</v>
      </c>
      <c r="E17" s="11">
        <f t="shared" si="4"/>
        <v>102.07197604150944</v>
      </c>
      <c r="F17" s="11">
        <f t="shared" si="2"/>
        <v>14711.6687815761</v>
      </c>
      <c r="H17" s="17" t="s">
        <v>26</v>
      </c>
      <c r="I17" s="17">
        <v>116440.87</v>
      </c>
    </row>
    <row r="18" spans="1:9" x14ac:dyDescent="0.35">
      <c r="A18" s="12">
        <v>15</v>
      </c>
      <c r="B18" s="11">
        <f t="shared" si="0"/>
        <v>1000</v>
      </c>
      <c r="C18" s="11">
        <f t="shared" si="3"/>
        <v>14711.6687815761</v>
      </c>
      <c r="D18" s="11">
        <f t="shared" si="1"/>
        <v>0.75</v>
      </c>
      <c r="E18" s="11">
        <f t="shared" si="4"/>
        <v>110.33751586182076</v>
      </c>
      <c r="F18" s="11">
        <f t="shared" si="2"/>
        <v>15822.00629743792</v>
      </c>
    </row>
    <row r="19" spans="1:9" x14ac:dyDescent="0.35">
      <c r="A19" s="12">
        <v>16</v>
      </c>
      <c r="B19" s="11">
        <f t="shared" si="0"/>
        <v>1000</v>
      </c>
      <c r="C19" s="11">
        <f t="shared" si="3"/>
        <v>15822.00629743792</v>
      </c>
      <c r="D19" s="11">
        <f t="shared" si="1"/>
        <v>0.75</v>
      </c>
      <c r="E19" s="11">
        <f t="shared" si="4"/>
        <v>118.66504723078441</v>
      </c>
      <c r="F19" s="11">
        <f t="shared" si="2"/>
        <v>16940.671344668703</v>
      </c>
    </row>
    <row r="20" spans="1:9" x14ac:dyDescent="0.35">
      <c r="A20" s="12">
        <v>17</v>
      </c>
      <c r="B20" s="11">
        <f t="shared" si="0"/>
        <v>1000</v>
      </c>
      <c r="C20" s="11">
        <f t="shared" si="3"/>
        <v>16940.671344668703</v>
      </c>
      <c r="D20" s="11">
        <f t="shared" si="1"/>
        <v>0.75</v>
      </c>
      <c r="E20" s="11">
        <f t="shared" si="4"/>
        <v>127.05503508501526</v>
      </c>
      <c r="F20" s="11">
        <f t="shared" si="2"/>
        <v>18067.726379753716</v>
      </c>
    </row>
    <row r="21" spans="1:9" x14ac:dyDescent="0.35">
      <c r="A21" s="12">
        <v>18</v>
      </c>
      <c r="B21" s="11">
        <f t="shared" si="0"/>
        <v>1000</v>
      </c>
      <c r="C21" s="11">
        <f t="shared" si="3"/>
        <v>18067.726379753716</v>
      </c>
      <c r="D21" s="11">
        <f t="shared" si="1"/>
        <v>0.75</v>
      </c>
      <c r="E21" s="11">
        <f t="shared" si="4"/>
        <v>135.50794784815287</v>
      </c>
      <c r="F21" s="11">
        <f t="shared" si="2"/>
        <v>19203.234327601869</v>
      </c>
    </row>
    <row r="22" spans="1:9" x14ac:dyDescent="0.35">
      <c r="A22" s="12">
        <v>19</v>
      </c>
      <c r="B22" s="11">
        <f t="shared" si="0"/>
        <v>1000</v>
      </c>
      <c r="C22" s="11">
        <f t="shared" si="3"/>
        <v>19203.234327601869</v>
      </c>
      <c r="D22" s="11">
        <f t="shared" si="1"/>
        <v>0.75</v>
      </c>
      <c r="E22" s="11">
        <f t="shared" si="4"/>
        <v>144.02425745701402</v>
      </c>
      <c r="F22" s="11">
        <f t="shared" si="2"/>
        <v>20347.258585058884</v>
      </c>
    </row>
    <row r="23" spans="1:9" x14ac:dyDescent="0.35">
      <c r="A23" s="12">
        <v>20</v>
      </c>
      <c r="B23" s="11">
        <f t="shared" si="0"/>
        <v>1000</v>
      </c>
      <c r="C23" s="11">
        <f t="shared" si="3"/>
        <v>20347.258585058884</v>
      </c>
      <c r="D23" s="11">
        <f t="shared" si="1"/>
        <v>0.75</v>
      </c>
      <c r="E23" s="11">
        <f t="shared" si="4"/>
        <v>152.60443938794162</v>
      </c>
      <c r="F23" s="11">
        <f t="shared" si="2"/>
        <v>21499.863024446826</v>
      </c>
    </row>
    <row r="24" spans="1:9" x14ac:dyDescent="0.35">
      <c r="A24" s="12">
        <v>21</v>
      </c>
      <c r="B24" s="11">
        <f t="shared" si="0"/>
        <v>1000</v>
      </c>
      <c r="C24" s="11">
        <f t="shared" si="3"/>
        <v>21499.863024446826</v>
      </c>
      <c r="D24" s="11">
        <f t="shared" si="1"/>
        <v>0.75</v>
      </c>
      <c r="E24" s="11">
        <f t="shared" si="4"/>
        <v>161.24897268335121</v>
      </c>
      <c r="F24" s="11">
        <f t="shared" si="2"/>
        <v>22661.111997130178</v>
      </c>
    </row>
    <row r="25" spans="1:9" x14ac:dyDescent="0.35">
      <c r="A25" s="12">
        <v>22</v>
      </c>
      <c r="B25" s="11">
        <f t="shared" si="0"/>
        <v>1000</v>
      </c>
      <c r="C25" s="11">
        <f t="shared" si="3"/>
        <v>22661.111997130178</v>
      </c>
      <c r="D25" s="11">
        <f t="shared" si="1"/>
        <v>0.75</v>
      </c>
      <c r="E25" s="11">
        <f t="shared" si="4"/>
        <v>169.95833997847632</v>
      </c>
      <c r="F25" s="11">
        <f t="shared" si="2"/>
        <v>23831.070337108653</v>
      </c>
    </row>
    <row r="26" spans="1:9" x14ac:dyDescent="0.35">
      <c r="A26" s="12">
        <v>23</v>
      </c>
      <c r="B26" s="11">
        <f t="shared" si="0"/>
        <v>1000</v>
      </c>
      <c r="C26" s="11">
        <f t="shared" si="3"/>
        <v>23831.070337108653</v>
      </c>
      <c r="D26" s="11">
        <f t="shared" si="1"/>
        <v>0.75</v>
      </c>
      <c r="E26" s="11">
        <f t="shared" si="4"/>
        <v>178.73302752831489</v>
      </c>
      <c r="F26" s="11">
        <f t="shared" si="2"/>
        <v>25009.803364636969</v>
      </c>
    </row>
    <row r="27" spans="1:9" x14ac:dyDescent="0.35">
      <c r="A27" s="12">
        <v>24</v>
      </c>
      <c r="B27" s="11">
        <f t="shared" si="0"/>
        <v>1000</v>
      </c>
      <c r="C27" s="11">
        <f t="shared" si="3"/>
        <v>25009.803364636969</v>
      </c>
      <c r="D27" s="11">
        <f t="shared" si="1"/>
        <v>0.75</v>
      </c>
      <c r="E27" s="11">
        <f t="shared" si="4"/>
        <v>187.57352523477726</v>
      </c>
      <c r="F27" s="11">
        <f t="shared" si="2"/>
        <v>26197.376889871746</v>
      </c>
    </row>
    <row r="28" spans="1:9" x14ac:dyDescent="0.35">
      <c r="A28" s="12">
        <v>25</v>
      </c>
      <c r="B28" s="11">
        <f t="shared" si="0"/>
        <v>1000</v>
      </c>
      <c r="C28" s="11">
        <f t="shared" si="3"/>
        <v>26197.376889871746</v>
      </c>
      <c r="D28" s="11">
        <f t="shared" si="1"/>
        <v>0.75</v>
      </c>
      <c r="E28" s="11">
        <f t="shared" si="4"/>
        <v>196.48032667403808</v>
      </c>
      <c r="F28" s="11">
        <f t="shared" si="2"/>
        <v>27393.857216545784</v>
      </c>
    </row>
    <row r="29" spans="1:9" x14ac:dyDescent="0.35">
      <c r="A29" s="12">
        <v>26</v>
      </c>
      <c r="B29" s="11">
        <f t="shared" si="0"/>
        <v>1000</v>
      </c>
      <c r="C29" s="11">
        <f t="shared" si="3"/>
        <v>27393.857216545784</v>
      </c>
      <c r="D29" s="11">
        <f t="shared" si="1"/>
        <v>0.75</v>
      </c>
      <c r="E29" s="11">
        <f t="shared" si="4"/>
        <v>205.45392912409338</v>
      </c>
      <c r="F29" s="11">
        <f t="shared" si="2"/>
        <v>28599.311145669879</v>
      </c>
    </row>
    <row r="30" spans="1:9" x14ac:dyDescent="0.35">
      <c r="A30" s="12">
        <v>27</v>
      </c>
      <c r="B30" s="11">
        <f t="shared" si="0"/>
        <v>1000</v>
      </c>
      <c r="C30" s="11">
        <f t="shared" si="3"/>
        <v>28599.311145669879</v>
      </c>
      <c r="D30" s="11">
        <f t="shared" si="1"/>
        <v>0.75</v>
      </c>
      <c r="E30" s="11">
        <f t="shared" si="4"/>
        <v>214.49483359252409</v>
      </c>
      <c r="F30" s="11">
        <f t="shared" si="2"/>
        <v>29813.805979262404</v>
      </c>
    </row>
    <row r="31" spans="1:9" x14ac:dyDescent="0.35">
      <c r="A31" s="12">
        <v>28</v>
      </c>
      <c r="B31" s="11">
        <f t="shared" si="0"/>
        <v>1000</v>
      </c>
      <c r="C31" s="11">
        <f t="shared" si="3"/>
        <v>29813.805979262404</v>
      </c>
      <c r="D31" s="11">
        <f t="shared" si="1"/>
        <v>0.75</v>
      </c>
      <c r="E31" s="11">
        <f t="shared" si="4"/>
        <v>223.60354484446805</v>
      </c>
      <c r="F31" s="11">
        <f t="shared" si="2"/>
        <v>31037.409524106872</v>
      </c>
    </row>
    <row r="32" spans="1:9" x14ac:dyDescent="0.35">
      <c r="A32" s="12">
        <v>29</v>
      </c>
      <c r="B32" s="11">
        <f t="shared" si="0"/>
        <v>1000</v>
      </c>
      <c r="C32" s="11">
        <f t="shared" si="3"/>
        <v>31037.409524106872</v>
      </c>
      <c r="D32" s="11">
        <f t="shared" si="1"/>
        <v>0.75</v>
      </c>
      <c r="E32" s="11">
        <f t="shared" si="4"/>
        <v>232.78057143080153</v>
      </c>
      <c r="F32" s="11">
        <f t="shared" si="2"/>
        <v>32270.190095537673</v>
      </c>
    </row>
    <row r="33" spans="1:6" x14ac:dyDescent="0.35">
      <c r="A33" s="12">
        <v>30</v>
      </c>
      <c r="B33" s="11">
        <f t="shared" si="0"/>
        <v>1000</v>
      </c>
      <c r="C33" s="11">
        <f t="shared" si="3"/>
        <v>32270.190095537673</v>
      </c>
      <c r="D33" s="11">
        <f t="shared" si="1"/>
        <v>0.75</v>
      </c>
      <c r="E33" s="11">
        <f t="shared" si="4"/>
        <v>242.02642571653254</v>
      </c>
      <c r="F33" s="11">
        <f t="shared" si="2"/>
        <v>33512.21652125421</v>
      </c>
    </row>
    <row r="34" spans="1:6" x14ac:dyDescent="0.35">
      <c r="A34" s="12">
        <v>31</v>
      </c>
      <c r="B34" s="11">
        <f t="shared" si="0"/>
        <v>1000</v>
      </c>
      <c r="C34" s="11">
        <f t="shared" si="3"/>
        <v>33512.21652125421</v>
      </c>
      <c r="D34" s="11">
        <f t="shared" si="1"/>
        <v>0.75</v>
      </c>
      <c r="E34" s="11">
        <f t="shared" si="4"/>
        <v>251.34162390940656</v>
      </c>
      <c r="F34" s="11">
        <f t="shared" si="2"/>
        <v>34763.558145163617</v>
      </c>
    </row>
    <row r="35" spans="1:6" x14ac:dyDescent="0.35">
      <c r="A35" s="12">
        <v>32</v>
      </c>
      <c r="B35" s="11">
        <f t="shared" si="0"/>
        <v>1000</v>
      </c>
      <c r="C35" s="11">
        <f t="shared" si="3"/>
        <v>34763.558145163617</v>
      </c>
      <c r="D35" s="11">
        <f t="shared" si="1"/>
        <v>0.75</v>
      </c>
      <c r="E35" s="11">
        <f t="shared" si="4"/>
        <v>260.72668608872715</v>
      </c>
      <c r="F35" s="11">
        <f t="shared" si="2"/>
        <v>36024.284831252342</v>
      </c>
    </row>
    <row r="36" spans="1:6" x14ac:dyDescent="0.35">
      <c r="A36" s="12">
        <v>33</v>
      </c>
      <c r="B36" s="11">
        <f t="shared" si="0"/>
        <v>1000</v>
      </c>
      <c r="C36" s="11">
        <f t="shared" si="3"/>
        <v>36024.284831252342</v>
      </c>
      <c r="D36" s="11">
        <f t="shared" si="1"/>
        <v>0.75</v>
      </c>
      <c r="E36" s="11">
        <f t="shared" si="4"/>
        <v>270.18213623439254</v>
      </c>
      <c r="F36" s="11">
        <f t="shared" si="2"/>
        <v>37294.466967486733</v>
      </c>
    </row>
    <row r="37" spans="1:6" x14ac:dyDescent="0.35">
      <c r="A37" s="12">
        <v>34</v>
      </c>
      <c r="B37" s="11">
        <f t="shared" si="0"/>
        <v>1000</v>
      </c>
      <c r="C37" s="11">
        <f t="shared" si="3"/>
        <v>37294.466967486733</v>
      </c>
      <c r="D37" s="11">
        <f t="shared" si="1"/>
        <v>0.75</v>
      </c>
      <c r="E37" s="11">
        <f t="shared" si="4"/>
        <v>279.7085022561505</v>
      </c>
      <c r="F37" s="11">
        <f t="shared" si="2"/>
        <v>38574.175469742884</v>
      </c>
    </row>
    <row r="38" spans="1:6" x14ac:dyDescent="0.35">
      <c r="A38" s="12">
        <v>35</v>
      </c>
      <c r="B38" s="11">
        <f t="shared" si="0"/>
        <v>1000</v>
      </c>
      <c r="C38" s="11">
        <f t="shared" si="3"/>
        <v>38574.175469742884</v>
      </c>
      <c r="D38" s="11">
        <f t="shared" si="1"/>
        <v>0.75</v>
      </c>
      <c r="E38" s="11">
        <f t="shared" si="4"/>
        <v>289.30631602307164</v>
      </c>
      <c r="F38" s="11">
        <f t="shared" si="2"/>
        <v>39863.481785765958</v>
      </c>
    </row>
    <row r="39" spans="1:6" x14ac:dyDescent="0.35">
      <c r="A39" s="12">
        <v>36</v>
      </c>
      <c r="B39" s="11">
        <f t="shared" si="0"/>
        <v>1000</v>
      </c>
      <c r="C39" s="11">
        <f t="shared" si="3"/>
        <v>39863.481785765958</v>
      </c>
      <c r="D39" s="11">
        <f t="shared" si="1"/>
        <v>0.75</v>
      </c>
      <c r="E39" s="11">
        <f t="shared" si="4"/>
        <v>298.97611339324465</v>
      </c>
      <c r="F39" s="11">
        <f t="shared" si="2"/>
        <v>41162.457899159206</v>
      </c>
    </row>
    <row r="40" spans="1:6" x14ac:dyDescent="0.35">
      <c r="A40" s="12">
        <v>37</v>
      </c>
      <c r="B40" s="11">
        <f t="shared" si="0"/>
        <v>1000</v>
      </c>
      <c r="C40" s="11">
        <f t="shared" si="3"/>
        <v>41162.457899159206</v>
      </c>
      <c r="D40" s="11">
        <f t="shared" si="1"/>
        <v>0.75</v>
      </c>
      <c r="E40" s="11">
        <f t="shared" si="4"/>
        <v>308.71843424369405</v>
      </c>
      <c r="F40" s="11">
        <f t="shared" si="2"/>
        <v>42471.176333402902</v>
      </c>
    </row>
    <row r="41" spans="1:6" x14ac:dyDescent="0.35">
      <c r="A41" s="12">
        <v>38</v>
      </c>
      <c r="B41" s="11">
        <f t="shared" si="0"/>
        <v>1000</v>
      </c>
      <c r="C41" s="11">
        <f t="shared" si="3"/>
        <v>42471.176333402902</v>
      </c>
      <c r="D41" s="11">
        <f t="shared" si="1"/>
        <v>0.75</v>
      </c>
      <c r="E41" s="11">
        <f t="shared" si="4"/>
        <v>318.53382250052181</v>
      </c>
      <c r="F41" s="11">
        <f t="shared" si="2"/>
        <v>43789.710155903427</v>
      </c>
    </row>
    <row r="42" spans="1:6" x14ac:dyDescent="0.35">
      <c r="A42" s="12">
        <v>39</v>
      </c>
      <c r="B42" s="11">
        <f t="shared" si="0"/>
        <v>1000</v>
      </c>
      <c r="C42" s="11">
        <f t="shared" si="3"/>
        <v>43789.710155903427</v>
      </c>
      <c r="D42" s="11">
        <f t="shared" si="1"/>
        <v>0.75</v>
      </c>
      <c r="E42" s="11">
        <f t="shared" si="4"/>
        <v>328.42282616927571</v>
      </c>
      <c r="F42" s="11">
        <f t="shared" si="2"/>
        <v>45118.132982072704</v>
      </c>
    </row>
    <row r="43" spans="1:6" x14ac:dyDescent="0.35">
      <c r="A43" s="12">
        <v>40</v>
      </c>
      <c r="B43" s="11">
        <f t="shared" si="0"/>
        <v>1000</v>
      </c>
      <c r="C43" s="11">
        <f t="shared" si="3"/>
        <v>45118.132982072704</v>
      </c>
      <c r="D43" s="11">
        <f t="shared" si="1"/>
        <v>0.75</v>
      </c>
      <c r="E43" s="11">
        <f t="shared" si="4"/>
        <v>338.38599736554528</v>
      </c>
      <c r="F43" s="11">
        <f t="shared" si="2"/>
        <v>46456.518979438246</v>
      </c>
    </row>
    <row r="44" spans="1:6" x14ac:dyDescent="0.35">
      <c r="A44" s="12">
        <v>41</v>
      </c>
      <c r="B44" s="11">
        <f t="shared" si="0"/>
        <v>1000</v>
      </c>
      <c r="C44" s="11">
        <f t="shared" si="3"/>
        <v>46456.518979438246</v>
      </c>
      <c r="D44" s="11">
        <f t="shared" si="1"/>
        <v>0.75</v>
      </c>
      <c r="E44" s="11">
        <f t="shared" si="4"/>
        <v>348.4238923457869</v>
      </c>
      <c r="F44" s="11">
        <f t="shared" si="2"/>
        <v>47804.942871784035</v>
      </c>
    </row>
    <row r="45" spans="1:6" x14ac:dyDescent="0.35">
      <c r="A45" s="12">
        <v>42</v>
      </c>
      <c r="B45" s="11">
        <f t="shared" si="0"/>
        <v>1000</v>
      </c>
      <c r="C45" s="11">
        <f t="shared" si="3"/>
        <v>47804.942871784035</v>
      </c>
      <c r="D45" s="11">
        <f t="shared" si="1"/>
        <v>0.75</v>
      </c>
      <c r="E45" s="11">
        <f t="shared" si="4"/>
        <v>358.53707153838025</v>
      </c>
      <c r="F45" s="11">
        <f t="shared" si="2"/>
        <v>49163.479943322418</v>
      </c>
    </row>
    <row r="46" spans="1:6" x14ac:dyDescent="0.35">
      <c r="A46" s="12">
        <v>43</v>
      </c>
      <c r="B46" s="11">
        <f t="shared" si="0"/>
        <v>1000</v>
      </c>
      <c r="C46" s="11">
        <f t="shared" si="3"/>
        <v>49163.479943322418</v>
      </c>
      <c r="D46" s="11">
        <f t="shared" si="1"/>
        <v>0.75</v>
      </c>
      <c r="E46" s="11">
        <f t="shared" si="4"/>
        <v>368.72609957491812</v>
      </c>
      <c r="F46" s="11">
        <f t="shared" si="2"/>
        <v>50532.206042897335</v>
      </c>
    </row>
    <row r="47" spans="1:6" x14ac:dyDescent="0.35">
      <c r="A47" s="12">
        <v>44</v>
      </c>
      <c r="B47" s="11">
        <f t="shared" si="0"/>
        <v>1000</v>
      </c>
      <c r="C47" s="11">
        <f t="shared" si="3"/>
        <v>50532.206042897335</v>
      </c>
      <c r="D47" s="11">
        <f t="shared" si="1"/>
        <v>0.75</v>
      </c>
      <c r="E47" s="11">
        <f t="shared" si="4"/>
        <v>378.99154532173003</v>
      </c>
      <c r="F47" s="11">
        <f t="shared" si="2"/>
        <v>51911.197588219067</v>
      </c>
    </row>
    <row r="48" spans="1:6" x14ac:dyDescent="0.35">
      <c r="A48" s="12">
        <v>45</v>
      </c>
      <c r="B48" s="11">
        <f t="shared" si="0"/>
        <v>1000</v>
      </c>
      <c r="C48" s="11">
        <f t="shared" si="3"/>
        <v>51911.197588219067</v>
      </c>
      <c r="D48" s="11">
        <f t="shared" si="1"/>
        <v>0.75</v>
      </c>
      <c r="E48" s="11">
        <f t="shared" si="4"/>
        <v>389.33398191164298</v>
      </c>
      <c r="F48" s="11">
        <f t="shared" si="2"/>
        <v>53300.531570130712</v>
      </c>
    </row>
    <row r="49" spans="1:6" x14ac:dyDescent="0.35">
      <c r="A49" s="12">
        <v>46</v>
      </c>
      <c r="B49" s="11">
        <f t="shared" si="0"/>
        <v>1000</v>
      </c>
      <c r="C49" s="11">
        <f t="shared" si="3"/>
        <v>53300.531570130712</v>
      </c>
      <c r="D49" s="11">
        <f t="shared" si="1"/>
        <v>0.75</v>
      </c>
      <c r="E49" s="11">
        <f t="shared" si="4"/>
        <v>399.75398677598031</v>
      </c>
      <c r="F49" s="11">
        <f t="shared" si="2"/>
        <v>54700.285556906689</v>
      </c>
    </row>
    <row r="50" spans="1:6" x14ac:dyDescent="0.35">
      <c r="A50" s="12">
        <v>47</v>
      </c>
      <c r="B50" s="11">
        <f t="shared" si="0"/>
        <v>1000</v>
      </c>
      <c r="C50" s="11">
        <f t="shared" si="3"/>
        <v>54700.285556906689</v>
      </c>
      <c r="D50" s="11">
        <f t="shared" si="1"/>
        <v>0.75</v>
      </c>
      <c r="E50" s="11">
        <f t="shared" si="4"/>
        <v>410.25214167680019</v>
      </c>
      <c r="F50" s="11">
        <f t="shared" si="2"/>
        <v>56110.537698583488</v>
      </c>
    </row>
    <row r="51" spans="1:6" x14ac:dyDescent="0.35">
      <c r="A51" s="12">
        <v>48</v>
      </c>
      <c r="B51" s="11">
        <f t="shared" si="0"/>
        <v>1000</v>
      </c>
      <c r="C51" s="11">
        <f t="shared" si="3"/>
        <v>56110.537698583488</v>
      </c>
      <c r="D51" s="11">
        <f t="shared" si="1"/>
        <v>0.75</v>
      </c>
      <c r="E51" s="11">
        <f t="shared" si="4"/>
        <v>420.82903273937615</v>
      </c>
      <c r="F51" s="11">
        <f t="shared" si="2"/>
        <v>57531.366731322865</v>
      </c>
    </row>
    <row r="52" spans="1:6" x14ac:dyDescent="0.35">
      <c r="A52" s="12">
        <v>49</v>
      </c>
      <c r="B52" s="11">
        <f t="shared" si="0"/>
        <v>1000</v>
      </c>
      <c r="C52" s="11">
        <f t="shared" si="3"/>
        <v>57531.366731322865</v>
      </c>
      <c r="D52" s="11">
        <f t="shared" si="1"/>
        <v>0.75</v>
      </c>
      <c r="E52" s="11">
        <f t="shared" si="4"/>
        <v>431.48525048492149</v>
      </c>
      <c r="F52" s="11">
        <f t="shared" si="2"/>
        <v>58962.851981807784</v>
      </c>
    </row>
    <row r="53" spans="1:6" x14ac:dyDescent="0.35">
      <c r="A53" s="12">
        <v>50</v>
      </c>
      <c r="B53" s="11">
        <f t="shared" si="0"/>
        <v>1000</v>
      </c>
      <c r="C53" s="11">
        <f t="shared" si="3"/>
        <v>58962.851981807784</v>
      </c>
      <c r="D53" s="11">
        <f t="shared" si="1"/>
        <v>0.75</v>
      </c>
      <c r="E53" s="11">
        <f t="shared" si="4"/>
        <v>442.22138986355839</v>
      </c>
      <c r="F53" s="11">
        <f t="shared" si="2"/>
        <v>60405.073371671344</v>
      </c>
    </row>
    <row r="54" spans="1:6" x14ac:dyDescent="0.35">
      <c r="A54" s="12">
        <v>51</v>
      </c>
      <c r="B54" s="11">
        <f t="shared" si="0"/>
        <v>1000</v>
      </c>
      <c r="C54" s="11">
        <f t="shared" si="3"/>
        <v>60405.073371671344</v>
      </c>
      <c r="D54" s="11">
        <f t="shared" si="1"/>
        <v>0.75</v>
      </c>
      <c r="E54" s="11">
        <f t="shared" si="4"/>
        <v>453.0380502875351</v>
      </c>
      <c r="F54" s="11">
        <f t="shared" si="2"/>
        <v>61858.111421958878</v>
      </c>
    </row>
    <row r="55" spans="1:6" x14ac:dyDescent="0.35">
      <c r="A55" s="12">
        <v>52</v>
      </c>
      <c r="B55" s="11">
        <f t="shared" si="0"/>
        <v>1000</v>
      </c>
      <c r="C55" s="11">
        <f t="shared" si="3"/>
        <v>61858.111421958878</v>
      </c>
      <c r="D55" s="11">
        <f t="shared" si="1"/>
        <v>0.75</v>
      </c>
      <c r="E55" s="11">
        <f t="shared" si="4"/>
        <v>463.93583566469152</v>
      </c>
      <c r="F55" s="11">
        <f t="shared" si="2"/>
        <v>63322.04725762357</v>
      </c>
    </row>
    <row r="56" spans="1:6" x14ac:dyDescent="0.35">
      <c r="A56" s="12">
        <v>53</v>
      </c>
      <c r="B56" s="11">
        <f t="shared" si="0"/>
        <v>1000</v>
      </c>
      <c r="C56" s="11">
        <f t="shared" si="3"/>
        <v>63322.04725762357</v>
      </c>
      <c r="D56" s="11">
        <f t="shared" si="1"/>
        <v>0.75</v>
      </c>
      <c r="E56" s="11">
        <f t="shared" si="4"/>
        <v>474.91535443217674</v>
      </c>
      <c r="F56" s="11">
        <f t="shared" si="2"/>
        <v>64796.962612055744</v>
      </c>
    </row>
    <row r="57" spans="1:6" x14ac:dyDescent="0.35">
      <c r="A57" s="12">
        <v>54</v>
      </c>
      <c r="B57" s="11">
        <f t="shared" si="0"/>
        <v>1000</v>
      </c>
      <c r="C57" s="11">
        <f t="shared" si="3"/>
        <v>64796.962612055744</v>
      </c>
      <c r="D57" s="11">
        <f t="shared" si="1"/>
        <v>0.75</v>
      </c>
      <c r="E57" s="11">
        <f t="shared" si="4"/>
        <v>485.97721959041809</v>
      </c>
      <c r="F57" s="11">
        <f t="shared" si="2"/>
        <v>66282.939831646159</v>
      </c>
    </row>
    <row r="58" spans="1:6" x14ac:dyDescent="0.35">
      <c r="A58" s="12">
        <v>55</v>
      </c>
      <c r="B58" s="11">
        <f t="shared" si="0"/>
        <v>1000</v>
      </c>
      <c r="C58" s="11">
        <f t="shared" si="3"/>
        <v>66282.939831646159</v>
      </c>
      <c r="D58" s="11">
        <f t="shared" si="1"/>
        <v>0.75</v>
      </c>
      <c r="E58" s="11">
        <f t="shared" si="4"/>
        <v>497.12204873734618</v>
      </c>
      <c r="F58" s="11">
        <f t="shared" si="2"/>
        <v>67780.06188038351</v>
      </c>
    </row>
    <row r="59" spans="1:6" x14ac:dyDescent="0.35">
      <c r="A59" s="12">
        <v>56</v>
      </c>
      <c r="B59" s="11">
        <f t="shared" si="0"/>
        <v>1000</v>
      </c>
      <c r="C59" s="11">
        <f t="shared" si="3"/>
        <v>67780.06188038351</v>
      </c>
      <c r="D59" s="11">
        <f t="shared" si="1"/>
        <v>0.75</v>
      </c>
      <c r="E59" s="11">
        <f t="shared" si="4"/>
        <v>508.35046410287629</v>
      </c>
      <c r="F59" s="11">
        <f t="shared" si="2"/>
        <v>69288.41234448638</v>
      </c>
    </row>
    <row r="60" spans="1:6" x14ac:dyDescent="0.35">
      <c r="A60" s="12">
        <v>57</v>
      </c>
      <c r="B60" s="11">
        <f t="shared" si="0"/>
        <v>1000</v>
      </c>
      <c r="C60" s="11">
        <f t="shared" si="3"/>
        <v>69288.41234448638</v>
      </c>
      <c r="D60" s="11">
        <f t="shared" si="1"/>
        <v>0.75</v>
      </c>
      <c r="E60" s="11">
        <f t="shared" si="4"/>
        <v>519.66309258364777</v>
      </c>
      <c r="F60" s="11">
        <f t="shared" si="2"/>
        <v>70808.075437070031</v>
      </c>
    </row>
    <row r="61" spans="1:6" x14ac:dyDescent="0.35">
      <c r="A61" s="12">
        <v>58</v>
      </c>
      <c r="B61" s="11">
        <f t="shared" si="0"/>
        <v>1000</v>
      </c>
      <c r="C61" s="11">
        <f t="shared" si="3"/>
        <v>70808.075437070031</v>
      </c>
      <c r="D61" s="11">
        <f t="shared" si="1"/>
        <v>0.75</v>
      </c>
      <c r="E61" s="11">
        <f t="shared" si="4"/>
        <v>531.06056577802519</v>
      </c>
      <c r="F61" s="11">
        <f t="shared" si="2"/>
        <v>72339.136002848056</v>
      </c>
    </row>
    <row r="62" spans="1:6" x14ac:dyDescent="0.35">
      <c r="A62" s="12">
        <v>59</v>
      </c>
      <c r="B62" s="11">
        <f t="shared" si="0"/>
        <v>1000</v>
      </c>
      <c r="C62" s="11">
        <f t="shared" si="3"/>
        <v>72339.136002848056</v>
      </c>
      <c r="D62" s="11">
        <f t="shared" si="1"/>
        <v>0.75</v>
      </c>
      <c r="E62" s="11">
        <f t="shared" si="4"/>
        <v>542.54352002136045</v>
      </c>
      <c r="F62" s="11">
        <f t="shared" si="2"/>
        <v>73881.67952286941</v>
      </c>
    </row>
    <row r="63" spans="1:6" x14ac:dyDescent="0.35">
      <c r="A63" s="12">
        <v>60</v>
      </c>
      <c r="B63" s="11">
        <f t="shared" si="0"/>
        <v>1000</v>
      </c>
      <c r="C63" s="11">
        <f t="shared" si="3"/>
        <v>73881.67952286941</v>
      </c>
      <c r="D63" s="11">
        <f t="shared" si="1"/>
        <v>0.75</v>
      </c>
      <c r="E63" s="11">
        <f t="shared" si="4"/>
        <v>554.11259642152061</v>
      </c>
      <c r="F63" s="11">
        <f t="shared" si="2"/>
        <v>75435.792119290927</v>
      </c>
    </row>
    <row r="64" spans="1:6" x14ac:dyDescent="0.35">
      <c r="A64" s="12">
        <v>61</v>
      </c>
      <c r="B64" s="11">
        <f t="shared" si="0"/>
        <v>1000</v>
      </c>
      <c r="C64" s="11">
        <f t="shared" si="3"/>
        <v>75435.792119290927</v>
      </c>
      <c r="D64" s="11">
        <f t="shared" si="1"/>
        <v>0.75</v>
      </c>
      <c r="E64" s="11">
        <f t="shared" si="4"/>
        <v>565.76844089468204</v>
      </c>
      <c r="F64" s="11">
        <f t="shared" si="2"/>
        <v>77001.560560185608</v>
      </c>
    </row>
    <row r="65" spans="1:6" x14ac:dyDescent="0.35">
      <c r="A65" s="12">
        <v>62</v>
      </c>
      <c r="B65" s="11">
        <f t="shared" si="0"/>
        <v>1000</v>
      </c>
      <c r="C65" s="11">
        <f t="shared" si="3"/>
        <v>77001.560560185608</v>
      </c>
      <c r="D65" s="11">
        <f t="shared" si="1"/>
        <v>0.75</v>
      </c>
      <c r="E65" s="11">
        <f t="shared" si="4"/>
        <v>577.51170420139204</v>
      </c>
      <c r="F65" s="11">
        <f t="shared" si="2"/>
        <v>78579.072264386996</v>
      </c>
    </row>
    <row r="66" spans="1:6" x14ac:dyDescent="0.35">
      <c r="A66" s="12">
        <v>63</v>
      </c>
      <c r="B66" s="11">
        <f t="shared" si="0"/>
        <v>1000</v>
      </c>
      <c r="C66" s="11">
        <f t="shared" si="3"/>
        <v>78579.072264386996</v>
      </c>
      <c r="D66" s="11">
        <f t="shared" si="1"/>
        <v>0.75</v>
      </c>
      <c r="E66" s="11">
        <f t="shared" si="4"/>
        <v>589.34304198290249</v>
      </c>
      <c r="F66" s="11">
        <f t="shared" si="2"/>
        <v>80168.415306369905</v>
      </c>
    </row>
    <row r="67" spans="1:6" x14ac:dyDescent="0.35">
      <c r="A67" s="12">
        <v>64</v>
      </c>
      <c r="B67" s="11">
        <f t="shared" si="0"/>
        <v>1000</v>
      </c>
      <c r="C67" s="11">
        <f t="shared" si="3"/>
        <v>80168.415306369905</v>
      </c>
      <c r="D67" s="11">
        <f t="shared" si="1"/>
        <v>0.75</v>
      </c>
      <c r="E67" s="11">
        <f t="shared" si="4"/>
        <v>601.26311479777428</v>
      </c>
      <c r="F67" s="11">
        <f t="shared" si="2"/>
        <v>81769.678421167686</v>
      </c>
    </row>
    <row r="68" spans="1:6" x14ac:dyDescent="0.35">
      <c r="A68" s="12">
        <v>65</v>
      </c>
      <c r="B68" s="11">
        <f t="shared" si="0"/>
        <v>1000</v>
      </c>
      <c r="C68" s="11">
        <f t="shared" si="3"/>
        <v>81769.678421167686</v>
      </c>
      <c r="D68" s="11">
        <f t="shared" si="1"/>
        <v>0.75</v>
      </c>
      <c r="E68" s="11">
        <f t="shared" si="4"/>
        <v>613.27258815875769</v>
      </c>
      <c r="F68" s="11">
        <f t="shared" si="2"/>
        <v>83382.95100932644</v>
      </c>
    </row>
    <row r="69" spans="1:6" x14ac:dyDescent="0.35">
      <c r="A69" s="12">
        <v>66</v>
      </c>
      <c r="B69" s="11">
        <f t="shared" ref="B69:B87" si="5">$D$1</f>
        <v>1000</v>
      </c>
      <c r="C69" s="11">
        <f t="shared" si="3"/>
        <v>83382.95100932644</v>
      </c>
      <c r="D69" s="11">
        <f t="shared" ref="D69:D87" si="6">$K$1</f>
        <v>0.75</v>
      </c>
      <c r="E69" s="11">
        <f t="shared" si="4"/>
        <v>625.37213256994835</v>
      </c>
      <c r="F69" s="11">
        <f t="shared" si="2"/>
        <v>85008.323141896384</v>
      </c>
    </row>
    <row r="70" spans="1:6" x14ac:dyDescent="0.35">
      <c r="A70" s="12">
        <v>67</v>
      </c>
      <c r="B70" s="11">
        <f t="shared" si="5"/>
        <v>1000</v>
      </c>
      <c r="C70" s="11">
        <f t="shared" si="3"/>
        <v>85008.323141896384</v>
      </c>
      <c r="D70" s="11">
        <f t="shared" si="6"/>
        <v>0.75</v>
      </c>
      <c r="E70" s="11">
        <f t="shared" si="4"/>
        <v>637.56242356422285</v>
      </c>
      <c r="F70" s="11">
        <f t="shared" ref="F70:F87" si="7">B70+C70+E70</f>
        <v>86645.885565460601</v>
      </c>
    </row>
    <row r="71" spans="1:6" x14ac:dyDescent="0.35">
      <c r="A71" s="12">
        <v>68</v>
      </c>
      <c r="B71" s="11">
        <f t="shared" si="5"/>
        <v>1000</v>
      </c>
      <c r="C71" s="11">
        <f t="shared" ref="C71:C87" si="8">F70</f>
        <v>86645.885565460601</v>
      </c>
      <c r="D71" s="11">
        <f t="shared" si="6"/>
        <v>0.75</v>
      </c>
      <c r="E71" s="11">
        <f t="shared" ref="E71:E87" si="9">C71*D71/100</f>
        <v>649.84414174095446</v>
      </c>
      <c r="F71" s="11">
        <f t="shared" si="7"/>
        <v>88295.72970720155</v>
      </c>
    </row>
    <row r="72" spans="1:6" x14ac:dyDescent="0.35">
      <c r="A72" s="12">
        <v>69</v>
      </c>
      <c r="B72" s="11">
        <f t="shared" si="5"/>
        <v>1000</v>
      </c>
      <c r="C72" s="11">
        <f t="shared" si="8"/>
        <v>88295.72970720155</v>
      </c>
      <c r="D72" s="11">
        <f t="shared" si="6"/>
        <v>0.75</v>
      </c>
      <c r="E72" s="11">
        <f t="shared" si="9"/>
        <v>662.21797280401165</v>
      </c>
      <c r="F72" s="11">
        <f t="shared" si="7"/>
        <v>89957.947680005556</v>
      </c>
    </row>
    <row r="73" spans="1:6" x14ac:dyDescent="0.35">
      <c r="A73" s="12">
        <v>70</v>
      </c>
      <c r="B73" s="11">
        <f t="shared" si="5"/>
        <v>1000</v>
      </c>
      <c r="C73" s="11">
        <f t="shared" si="8"/>
        <v>89957.947680005556</v>
      </c>
      <c r="D73" s="11">
        <f t="shared" si="6"/>
        <v>0.75</v>
      </c>
      <c r="E73" s="11">
        <f t="shared" si="9"/>
        <v>674.68460760004166</v>
      </c>
      <c r="F73" s="11">
        <f t="shared" si="7"/>
        <v>91632.632287605593</v>
      </c>
    </row>
    <row r="74" spans="1:6" x14ac:dyDescent="0.35">
      <c r="A74" s="12">
        <v>71</v>
      </c>
      <c r="B74" s="11">
        <f t="shared" si="5"/>
        <v>1000</v>
      </c>
      <c r="C74" s="11">
        <f t="shared" si="8"/>
        <v>91632.632287605593</v>
      </c>
      <c r="D74" s="11">
        <f t="shared" si="6"/>
        <v>0.75</v>
      </c>
      <c r="E74" s="11">
        <f t="shared" si="9"/>
        <v>687.24474215704186</v>
      </c>
      <c r="F74" s="11">
        <f t="shared" si="7"/>
        <v>93319.877029762632</v>
      </c>
    </row>
    <row r="75" spans="1:6" x14ac:dyDescent="0.35">
      <c r="A75" s="12">
        <v>72</v>
      </c>
      <c r="B75" s="11">
        <f t="shared" si="5"/>
        <v>1000</v>
      </c>
      <c r="C75" s="11">
        <f t="shared" si="8"/>
        <v>93319.877029762632</v>
      </c>
      <c r="D75" s="11">
        <f t="shared" si="6"/>
        <v>0.75</v>
      </c>
      <c r="E75" s="11">
        <f t="shared" si="9"/>
        <v>699.89907772321976</v>
      </c>
      <c r="F75" s="11">
        <f t="shared" si="7"/>
        <v>95019.776107485857</v>
      </c>
    </row>
    <row r="76" spans="1:6" x14ac:dyDescent="0.35">
      <c r="A76" s="12">
        <v>73</v>
      </c>
      <c r="B76" s="11">
        <f t="shared" si="5"/>
        <v>1000</v>
      </c>
      <c r="C76" s="11">
        <f t="shared" si="8"/>
        <v>95019.776107485857</v>
      </c>
      <c r="D76" s="11">
        <f t="shared" si="6"/>
        <v>0.75</v>
      </c>
      <c r="E76" s="11">
        <f t="shared" si="9"/>
        <v>712.64832080614394</v>
      </c>
      <c r="F76" s="11">
        <f t="shared" si="7"/>
        <v>96732.424428291997</v>
      </c>
    </row>
    <row r="77" spans="1:6" x14ac:dyDescent="0.35">
      <c r="A77" s="12">
        <v>74</v>
      </c>
      <c r="B77" s="11">
        <f t="shared" si="5"/>
        <v>1000</v>
      </c>
      <c r="C77" s="11">
        <f t="shared" si="8"/>
        <v>96732.424428291997</v>
      </c>
      <c r="D77" s="11">
        <f t="shared" si="6"/>
        <v>0.75</v>
      </c>
      <c r="E77" s="11">
        <f t="shared" si="9"/>
        <v>725.49318321219005</v>
      </c>
      <c r="F77" s="11">
        <f t="shared" si="7"/>
        <v>98457.917611504192</v>
      </c>
    </row>
    <row r="78" spans="1:6" x14ac:dyDescent="0.35">
      <c r="A78" s="12">
        <v>75</v>
      </c>
      <c r="B78" s="11">
        <f t="shared" si="5"/>
        <v>1000</v>
      </c>
      <c r="C78" s="11">
        <f t="shared" si="8"/>
        <v>98457.917611504192</v>
      </c>
      <c r="D78" s="11">
        <f t="shared" si="6"/>
        <v>0.75</v>
      </c>
      <c r="E78" s="11">
        <f t="shared" si="9"/>
        <v>738.4343820862814</v>
      </c>
      <c r="F78" s="11">
        <f t="shared" si="7"/>
        <v>100196.35199359048</v>
      </c>
    </row>
    <row r="79" spans="1:6" x14ac:dyDescent="0.35">
      <c r="A79" s="12">
        <v>76</v>
      </c>
      <c r="B79" s="11">
        <f t="shared" si="5"/>
        <v>1000</v>
      </c>
      <c r="C79" s="11">
        <f t="shared" si="8"/>
        <v>100196.35199359048</v>
      </c>
      <c r="D79" s="11">
        <f t="shared" si="6"/>
        <v>0.75</v>
      </c>
      <c r="E79" s="11">
        <f t="shared" si="9"/>
        <v>751.47263995192861</v>
      </c>
      <c r="F79" s="11">
        <f t="shared" si="7"/>
        <v>101947.8246335424</v>
      </c>
    </row>
    <row r="80" spans="1:6" x14ac:dyDescent="0.35">
      <c r="A80" s="12">
        <v>77</v>
      </c>
      <c r="B80" s="11">
        <f t="shared" si="5"/>
        <v>1000</v>
      </c>
      <c r="C80" s="11">
        <f t="shared" si="8"/>
        <v>101947.8246335424</v>
      </c>
      <c r="D80" s="11">
        <f t="shared" si="6"/>
        <v>0.75</v>
      </c>
      <c r="E80" s="11">
        <f t="shared" si="9"/>
        <v>764.60868475156803</v>
      </c>
      <c r="F80" s="11">
        <f t="shared" si="7"/>
        <v>103712.43331829397</v>
      </c>
    </row>
    <row r="81" spans="1:6" x14ac:dyDescent="0.35">
      <c r="A81" s="12">
        <v>78</v>
      </c>
      <c r="B81" s="11">
        <f t="shared" si="5"/>
        <v>1000</v>
      </c>
      <c r="C81" s="11">
        <f t="shared" si="8"/>
        <v>103712.43331829397</v>
      </c>
      <c r="D81" s="11">
        <f t="shared" si="6"/>
        <v>0.75</v>
      </c>
      <c r="E81" s="11">
        <f t="shared" si="9"/>
        <v>777.84324988720471</v>
      </c>
      <c r="F81" s="11">
        <f t="shared" si="7"/>
        <v>105490.27656818117</v>
      </c>
    </row>
    <row r="82" spans="1:6" x14ac:dyDescent="0.35">
      <c r="A82" s="12">
        <v>79</v>
      </c>
      <c r="B82" s="11">
        <f t="shared" si="5"/>
        <v>1000</v>
      </c>
      <c r="C82" s="11">
        <f t="shared" si="8"/>
        <v>105490.27656818117</v>
      </c>
      <c r="D82" s="11">
        <f t="shared" si="6"/>
        <v>0.75</v>
      </c>
      <c r="E82" s="11">
        <f t="shared" si="9"/>
        <v>791.17707426135883</v>
      </c>
      <c r="F82" s="11">
        <f t="shared" si="7"/>
        <v>107281.45364244253</v>
      </c>
    </row>
    <row r="83" spans="1:6" x14ac:dyDescent="0.35">
      <c r="A83" s="12">
        <v>80</v>
      </c>
      <c r="B83" s="11">
        <f t="shared" si="5"/>
        <v>1000</v>
      </c>
      <c r="C83" s="11">
        <f t="shared" si="8"/>
        <v>107281.45364244253</v>
      </c>
      <c r="D83" s="11">
        <f t="shared" si="6"/>
        <v>0.75</v>
      </c>
      <c r="E83" s="11">
        <f t="shared" si="9"/>
        <v>804.61090231831895</v>
      </c>
      <c r="F83" s="11">
        <f t="shared" si="7"/>
        <v>109086.06454476085</v>
      </c>
    </row>
    <row r="84" spans="1:6" x14ac:dyDescent="0.35">
      <c r="A84" s="12">
        <v>81</v>
      </c>
      <c r="B84" s="11">
        <f t="shared" si="5"/>
        <v>1000</v>
      </c>
      <c r="C84" s="11">
        <f t="shared" si="8"/>
        <v>109086.06454476085</v>
      </c>
      <c r="D84" s="11">
        <f t="shared" si="6"/>
        <v>0.75</v>
      </c>
      <c r="E84" s="11">
        <f t="shared" si="9"/>
        <v>818.14548408570636</v>
      </c>
      <c r="F84" s="11">
        <f t="shared" si="7"/>
        <v>110904.21002884656</v>
      </c>
    </row>
    <row r="85" spans="1:6" x14ac:dyDescent="0.35">
      <c r="A85" s="12">
        <v>82</v>
      </c>
      <c r="B85" s="11">
        <f t="shared" si="5"/>
        <v>1000</v>
      </c>
      <c r="C85" s="11">
        <f t="shared" si="8"/>
        <v>110904.21002884656</v>
      </c>
      <c r="D85" s="11">
        <f t="shared" si="6"/>
        <v>0.75</v>
      </c>
      <c r="E85" s="11">
        <f t="shared" si="9"/>
        <v>831.78157521634921</v>
      </c>
      <c r="F85" s="11">
        <f t="shared" si="7"/>
        <v>112735.9916040629</v>
      </c>
    </row>
    <row r="86" spans="1:6" x14ac:dyDescent="0.35">
      <c r="A86" s="12">
        <v>83</v>
      </c>
      <c r="B86" s="11">
        <f t="shared" si="5"/>
        <v>1000</v>
      </c>
      <c r="C86" s="11">
        <f t="shared" si="8"/>
        <v>112735.9916040629</v>
      </c>
      <c r="D86" s="11">
        <f t="shared" si="6"/>
        <v>0.75</v>
      </c>
      <c r="E86" s="11">
        <f t="shared" si="9"/>
        <v>845.51993703047174</v>
      </c>
      <c r="F86" s="11">
        <f t="shared" si="7"/>
        <v>114581.51154109338</v>
      </c>
    </row>
    <row r="87" spans="1:6" x14ac:dyDescent="0.35">
      <c r="A87" s="12">
        <v>84</v>
      </c>
      <c r="B87" s="11">
        <f t="shared" si="5"/>
        <v>1000</v>
      </c>
      <c r="C87" s="11">
        <f t="shared" si="8"/>
        <v>114581.51154109338</v>
      </c>
      <c r="D87" s="11">
        <f t="shared" si="6"/>
        <v>0.75</v>
      </c>
      <c r="E87" s="11">
        <f t="shared" si="9"/>
        <v>859.36133655820038</v>
      </c>
      <c r="F87" s="11">
        <f t="shared" si="7"/>
        <v>116440.87287765158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J9"/>
  <sheetViews>
    <sheetView workbookViewId="0">
      <selection activeCell="D5" sqref="D5"/>
    </sheetView>
  </sheetViews>
  <sheetFormatPr defaultRowHeight="14.5" x14ac:dyDescent="0.35"/>
  <cols>
    <col min="3" max="3" width="13.81640625" bestFit="1" customWidth="1"/>
  </cols>
  <sheetData>
    <row r="2" spans="3:10" x14ac:dyDescent="0.35">
      <c r="C2" t="s">
        <v>29</v>
      </c>
      <c r="D2">
        <v>15000</v>
      </c>
    </row>
    <row r="3" spans="3:10" x14ac:dyDescent="0.35">
      <c r="C3" t="s">
        <v>30</v>
      </c>
      <c r="D3">
        <v>13000</v>
      </c>
    </row>
    <row r="4" spans="3:10" x14ac:dyDescent="0.35">
      <c r="C4" t="s">
        <v>31</v>
      </c>
      <c r="D4">
        <v>60</v>
      </c>
    </row>
    <row r="5" spans="3:10" x14ac:dyDescent="0.35">
      <c r="C5" t="s">
        <v>32</v>
      </c>
      <c r="D5">
        <f>(D2-D3)*D4</f>
        <v>120000</v>
      </c>
    </row>
    <row r="6" spans="3:10" x14ac:dyDescent="0.35">
      <c r="H6" t="s">
        <v>34</v>
      </c>
      <c r="I6">
        <v>19</v>
      </c>
      <c r="J6" t="s">
        <v>35</v>
      </c>
    </row>
    <row r="7" spans="3:10" x14ac:dyDescent="0.35">
      <c r="H7" t="s">
        <v>36</v>
      </c>
      <c r="I7">
        <v>20</v>
      </c>
      <c r="J7" t="s">
        <v>37</v>
      </c>
    </row>
    <row r="9" spans="3:10" x14ac:dyDescent="0.35">
      <c r="H9" t="s">
        <v>33</v>
      </c>
      <c r="I9">
        <f>I6*60/I7</f>
        <v>57</v>
      </c>
      <c r="J9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C7"/>
  <sheetViews>
    <sheetView tabSelected="1" workbookViewId="0">
      <selection activeCell="C7" sqref="C7"/>
    </sheetView>
  </sheetViews>
  <sheetFormatPr defaultRowHeight="14.5" x14ac:dyDescent="0.35"/>
  <sheetData>
    <row r="4" spans="2:3" x14ac:dyDescent="0.35">
      <c r="B4" t="s">
        <v>39</v>
      </c>
      <c r="C4">
        <v>22</v>
      </c>
    </row>
    <row r="7" spans="2:3" x14ac:dyDescent="0.35">
      <c r="B7" t="s">
        <v>40</v>
      </c>
      <c r="C7" t="s">
        <v>41</v>
      </c>
    </row>
  </sheetData>
  <dataValidations count="2">
    <dataValidation type="whole" operator="greaterThan" allowBlank="1" showInputMessage="1" showErrorMessage="1" errorTitle="Result" error="Fail_x000a_" promptTitle="Result" prompt="Pass" sqref="C4">
      <formula1>34</formula1>
    </dataValidation>
    <dataValidation type="textLength" errorStyle="information" operator="lessThan" allowBlank="1" showInputMessage="1" showErrorMessage="1" errorTitle="length text" error="accepted: ok_x000a_" promptTitle="length" prompt="not ok" sqref="C7">
      <formula1>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Sheet1</vt:lpstr>
      <vt:lpstr>Sheet2</vt:lpstr>
      <vt:lpstr>sim-com</vt:lpstr>
      <vt:lpstr>Sheet4</vt:lpstr>
      <vt:lpstr>target-speed</vt:lpstr>
      <vt:lpstr>Sheet3</vt:lpstr>
      <vt:lpstr>int</vt:lpstr>
      <vt:lpstr>ir</vt:lpstr>
      <vt:lpstr>irn</vt:lpstr>
      <vt:lpstr>mon</vt:lpstr>
      <vt:lpstr>month</vt:lpstr>
      <vt:lpstr>no</vt:lpstr>
      <vt:lpstr>noy</vt:lpstr>
      <vt:lpstr>num</vt:lpstr>
      <vt:lpstr>prn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2025-12-15T09:35:46Z</dcterms:created>
  <dcterms:modified xsi:type="dcterms:W3CDTF">2025-12-18T09:25:29Z</dcterms:modified>
</cp:coreProperties>
</file>