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"/>
    </mc:Choice>
  </mc:AlternateContent>
  <bookViews>
    <workbookView xWindow="0" yWindow="0" windowWidth="19200" windowHeight="6830" activeTab="3"/>
  </bookViews>
  <sheets>
    <sheet name="Sheet1" sheetId="1" r:id="rId1"/>
    <sheet name="Sheet2" sheetId="2" r:id="rId2"/>
    <sheet name="Sheet3" sheetId="3" r:id="rId3"/>
    <sheet name="Sheet4" sheetId="4" r:id="rId4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2" i="4"/>
  <c r="F3" i="4"/>
  <c r="F4" i="4"/>
  <c r="F5" i="4"/>
  <c r="F6" i="4"/>
  <c r="F7" i="4"/>
  <c r="F8" i="4"/>
  <c r="F9" i="4"/>
  <c r="F10" i="4"/>
  <c r="F11" i="4"/>
  <c r="F12" i="4"/>
  <c r="F2" i="4"/>
  <c r="E3" i="4"/>
  <c r="E4" i="4"/>
  <c r="E5" i="4"/>
  <c r="E6" i="4"/>
  <c r="E7" i="4"/>
  <c r="E8" i="4"/>
  <c r="E9" i="4"/>
  <c r="E10" i="4"/>
  <c r="E11" i="4"/>
  <c r="E12" i="4"/>
  <c r="E2" i="4"/>
  <c r="C3" i="4"/>
  <c r="C4" i="4"/>
  <c r="C5" i="4"/>
  <c r="C6" i="4"/>
  <c r="C7" i="4"/>
  <c r="C8" i="4"/>
  <c r="C9" i="4"/>
  <c r="C10" i="4"/>
  <c r="C11" i="4"/>
  <c r="C12" i="4"/>
  <c r="C2" i="4"/>
  <c r="D3" i="4"/>
  <c r="D4" i="4"/>
  <c r="D5" i="4"/>
  <c r="D6" i="4"/>
  <c r="D7" i="4"/>
  <c r="D8" i="4"/>
  <c r="D9" i="4"/>
  <c r="D10" i="4"/>
  <c r="D11" i="4"/>
  <c r="D12" i="4"/>
  <c r="D2" i="4"/>
  <c r="G3" i="4" l="1"/>
  <c r="G2" i="4"/>
  <c r="G10" i="4"/>
  <c r="G8" i="4"/>
  <c r="G7" i="4"/>
  <c r="G6" i="4"/>
  <c r="G5" i="4"/>
  <c r="G9" i="4"/>
  <c r="G12" i="4"/>
  <c r="G4" i="4"/>
  <c r="G11" i="4"/>
  <c r="D3" i="2"/>
  <c r="D4" i="2"/>
  <c r="D5" i="2"/>
  <c r="D2" i="2"/>
  <c r="C12" i="1"/>
  <c r="D12" i="1"/>
  <c r="E12" i="1" s="1"/>
  <c r="E6" i="1"/>
  <c r="F6" i="1" s="1"/>
  <c r="G6" i="1" s="1"/>
  <c r="H6" i="1" s="1"/>
  <c r="E7" i="1"/>
  <c r="F7" i="1" s="1"/>
  <c r="G7" i="1" s="1"/>
  <c r="H7" i="1" s="1"/>
  <c r="E8" i="1"/>
  <c r="E9" i="1"/>
  <c r="F9" i="1" s="1"/>
  <c r="G9" i="1" s="1"/>
  <c r="H9" i="1" s="1"/>
  <c r="D3" i="1"/>
  <c r="E3" i="1" s="1"/>
  <c r="F3" i="1" s="1"/>
  <c r="G3" i="1" s="1"/>
  <c r="H3" i="1" s="1"/>
  <c r="D4" i="1"/>
  <c r="E4" i="1" s="1"/>
  <c r="F4" i="1" s="1"/>
  <c r="G4" i="1" s="1"/>
  <c r="H4" i="1" s="1"/>
  <c r="D5" i="1"/>
  <c r="E5" i="1" s="1"/>
  <c r="F5" i="1" s="1"/>
  <c r="G5" i="1" s="1"/>
  <c r="H5" i="1" s="1"/>
  <c r="D6" i="1"/>
  <c r="D7" i="1"/>
  <c r="D8" i="1"/>
  <c r="D9" i="1"/>
  <c r="D10" i="1"/>
  <c r="E10" i="1" s="1"/>
  <c r="F10" i="1" s="1"/>
  <c r="G10" i="1" s="1"/>
  <c r="H10" i="1" s="1"/>
  <c r="D11" i="1"/>
  <c r="E11" i="1" s="1"/>
  <c r="F11" i="1" s="1"/>
  <c r="G11" i="1" s="1"/>
  <c r="H11" i="1" s="1"/>
  <c r="D2" i="1"/>
  <c r="E2" i="1" s="1"/>
  <c r="F2" i="1" s="1"/>
  <c r="G2" i="1" s="1"/>
  <c r="H2" i="1" s="1"/>
  <c r="C3" i="1"/>
  <c r="C4" i="1"/>
  <c r="C5" i="1"/>
  <c r="C6" i="1"/>
  <c r="C7" i="1"/>
  <c r="C8" i="1"/>
  <c r="F8" i="1" s="1"/>
  <c r="G8" i="1" s="1"/>
  <c r="H8" i="1" s="1"/>
  <c r="C9" i="1"/>
  <c r="C10" i="1"/>
  <c r="C11" i="1"/>
  <c r="C2" i="1"/>
  <c r="F12" i="1" l="1"/>
  <c r="G12" i="1" s="1"/>
  <c r="H12" i="1" s="1"/>
</calcChain>
</file>

<file path=xl/sharedStrings.xml><?xml version="1.0" encoding="utf-8"?>
<sst xmlns="http://schemas.openxmlformats.org/spreadsheetml/2006/main" count="68" uniqueCount="53">
  <si>
    <t>EMP NAME</t>
  </si>
  <si>
    <t>EMP NO</t>
  </si>
  <si>
    <t>E1011</t>
  </si>
  <si>
    <t>E1012</t>
  </si>
  <si>
    <t>E1013</t>
  </si>
  <si>
    <t>E1014</t>
  </si>
  <si>
    <t>E1015</t>
  </si>
  <si>
    <t>E1016</t>
  </si>
  <si>
    <t>E1017</t>
  </si>
  <si>
    <t>E1018</t>
  </si>
  <si>
    <t>E1019</t>
  </si>
  <si>
    <t>E1020</t>
  </si>
  <si>
    <t>S SREESHA</t>
  </si>
  <si>
    <t>K DHANUSREE</t>
  </si>
  <si>
    <t>S RAKSANA</t>
  </si>
  <si>
    <t>K VIJI</t>
  </si>
  <si>
    <t>M KEERTHIKA</t>
  </si>
  <si>
    <t>S LOGANANTH</t>
  </si>
  <si>
    <t>M SUHAINA SANOFAR</t>
  </si>
  <si>
    <t>S SANGAVI</t>
  </si>
  <si>
    <t>M RAMYA</t>
  </si>
  <si>
    <t>V KISHORE</t>
  </si>
  <si>
    <t>INITIAL ONLY</t>
  </si>
  <si>
    <t>LENGTH</t>
  </si>
  <si>
    <t>NAME WITHOUT INITIAL</t>
  </si>
  <si>
    <t>E1021</t>
  </si>
  <si>
    <t>M SANJAI</t>
  </si>
  <si>
    <t>NAME WITH INITIAL AT END</t>
  </si>
  <si>
    <t xml:space="preserve">LOWER </t>
  </si>
  <si>
    <t>UPPER</t>
  </si>
  <si>
    <t>Total credit of tamilnadu</t>
  </si>
  <si>
    <t>year</t>
  </si>
  <si>
    <t>Population</t>
  </si>
  <si>
    <t>Individual credit</t>
  </si>
  <si>
    <t>Date</t>
  </si>
  <si>
    <t>13-3-2015</t>
  </si>
  <si>
    <t>S.No</t>
  </si>
  <si>
    <t>Eno</t>
  </si>
  <si>
    <t>M.S.SREESHA</t>
  </si>
  <si>
    <t>S.S.RAKSANA</t>
  </si>
  <si>
    <t>V.D.KISHORE</t>
  </si>
  <si>
    <t>K.DHANUSREE</t>
  </si>
  <si>
    <t>M.SUHAINA SANOFAR</t>
  </si>
  <si>
    <t>K.VIJI</t>
  </si>
  <si>
    <t>M.KEERTHIKA</t>
  </si>
  <si>
    <t>S.LOGANANTH</t>
  </si>
  <si>
    <t>S.SANGAVI</t>
  </si>
  <si>
    <t>M.RAMYA</t>
  </si>
  <si>
    <t>M.SANJAI</t>
  </si>
  <si>
    <t>SINGLE/DOUBLE INITIAL</t>
  </si>
  <si>
    <t>INTIAL END</t>
  </si>
  <si>
    <t>TRIM</t>
  </si>
  <si>
    <t>PROPER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</si>
</sst>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₹-449]\ #,##0"/>
    <numFmt numFmtId="165" formatCode="[$-409]d\-mmm\-yy;@"/>
    <numFmt numFmtId="166" formatCode="0."/>
    <numFmt numFmtId="167" formatCode="0\)"/>
  </numFmts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00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2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65" fontId="0" fillId="7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selection activeCell="G4" sqref="G4"/>
    </sheetView>
  </sheetViews>
  <sheetFormatPr defaultRowHeight="14.5" x14ac:dyDescent="0.35"/>
  <cols>
    <col min="1" max="1" width="8.7265625" style="1"/>
    <col min="2" max="2" width="19.1796875" style="1" bestFit="1" customWidth="1"/>
    <col min="3" max="3" width="11.6328125" style="1" bestFit="1" customWidth="1"/>
    <col min="4" max="4" width="12.6328125" style="1" customWidth="1"/>
    <col min="5" max="5" width="23.6328125" style="1" customWidth="1"/>
    <col min="6" max="6" width="24.36328125" style="1" bestFit="1" customWidth="1"/>
    <col min="7" max="7" width="16.453125" style="1" bestFit="1" customWidth="1"/>
    <col min="8" max="8" width="19.26953125" style="1" bestFit="1" customWidth="1"/>
    <col min="9" max="16384" width="8.7265625" style="1"/>
  </cols>
  <sheetData>
    <row r="1" spans="1:8" x14ac:dyDescent="0.35">
      <c r="A1" s="2" t="s">
        <v>1</v>
      </c>
      <c r="B1" s="2" t="s">
        <v>0</v>
      </c>
      <c r="C1" s="2" t="s">
        <v>22</v>
      </c>
      <c r="D1" s="2" t="s">
        <v>23</v>
      </c>
      <c r="E1" s="2" t="s">
        <v>24</v>
      </c>
      <c r="F1" s="2" t="s">
        <v>27</v>
      </c>
      <c r="G1" s="2" t="s">
        <v>28</v>
      </c>
      <c r="H1" s="2" t="s">
        <v>29</v>
      </c>
    </row>
    <row r="2" spans="1:8" x14ac:dyDescent="0.35">
      <c r="A2" s="3" t="s">
        <v>2</v>
      </c>
      <c r="B2" s="3" t="s">
        <v>12</v>
      </c>
      <c r="C2" s="3" t="str">
        <f>LEFT(B2,1)</f>
        <v>S</v>
      </c>
      <c r="D2" s="3">
        <f>LEN(B2)</f>
        <v>9</v>
      </c>
      <c r="E2" s="3" t="str">
        <f>RIGHT(B2,D2-2)</f>
        <v>SREESHA</v>
      </c>
      <c r="F2" s="3" t="str">
        <f>CONCATENATE(E2,".",C2)</f>
        <v>SREESHA.S</v>
      </c>
      <c r="G2" s="3" t="str">
        <f>LOWER(F2)</f>
        <v>sreesha.s</v>
      </c>
      <c r="H2" s="3" t="str">
        <f>UPPER(G2)</f>
        <v>SREESHA.S</v>
      </c>
    </row>
    <row r="3" spans="1:8" x14ac:dyDescent="0.35">
      <c r="A3" s="3" t="s">
        <v>3</v>
      </c>
      <c r="B3" s="3" t="s">
        <v>13</v>
      </c>
      <c r="C3" s="3" t="str">
        <f t="shared" ref="C3:C12" si="0">LEFT(B3,1)</f>
        <v>K</v>
      </c>
      <c r="D3" s="3">
        <f t="shared" ref="D3:D12" si="1">LEN(B3)</f>
        <v>11</v>
      </c>
      <c r="E3" s="3" t="str">
        <f t="shared" ref="E3:E12" si="2">RIGHT(B3,D3-2)</f>
        <v>DHANUSREE</v>
      </c>
      <c r="F3" s="3" t="str">
        <f t="shared" ref="F3:F12" si="3">CONCATENATE(E3,".",C3)</f>
        <v>DHANUSREE.K</v>
      </c>
      <c r="G3" s="3" t="str">
        <f t="shared" ref="G3:G12" si="4">LOWER(F3)</f>
        <v>dhanusree.k</v>
      </c>
      <c r="H3" s="3" t="str">
        <f t="shared" ref="H3:H12" si="5">UPPER(G3)</f>
        <v>DHANUSREE.K</v>
      </c>
    </row>
    <row r="4" spans="1:8" x14ac:dyDescent="0.35">
      <c r="A4" s="3" t="s">
        <v>4</v>
      </c>
      <c r="B4" s="3" t="s">
        <v>14</v>
      </c>
      <c r="C4" s="3" t="str">
        <f t="shared" si="0"/>
        <v>S</v>
      </c>
      <c r="D4" s="3">
        <f t="shared" si="1"/>
        <v>9</v>
      </c>
      <c r="E4" s="3" t="str">
        <f t="shared" si="2"/>
        <v>RAKSANA</v>
      </c>
      <c r="F4" s="3" t="str">
        <f t="shared" si="3"/>
        <v>RAKSANA.S</v>
      </c>
      <c r="G4" s="3" t="str">
        <f t="shared" si="4"/>
        <v>raksana.s</v>
      </c>
      <c r="H4" s="3" t="str">
        <f t="shared" si="5"/>
        <v>RAKSANA.S</v>
      </c>
    </row>
    <row r="5" spans="1:8" x14ac:dyDescent="0.35">
      <c r="A5" s="3" t="s">
        <v>5</v>
      </c>
      <c r="B5" s="3" t="s">
        <v>18</v>
      </c>
      <c r="C5" s="3" t="str">
        <f t="shared" si="0"/>
        <v>M</v>
      </c>
      <c r="D5" s="3">
        <f t="shared" si="1"/>
        <v>17</v>
      </c>
      <c r="E5" s="3" t="str">
        <f t="shared" si="2"/>
        <v>SUHAINA SANOFAR</v>
      </c>
      <c r="F5" s="3" t="str">
        <f>CONCATENATE(E5,".",C5)</f>
        <v>SUHAINA SANOFAR.M</v>
      </c>
      <c r="G5" s="3" t="str">
        <f t="shared" si="4"/>
        <v>suhaina sanofar.m</v>
      </c>
      <c r="H5" s="3" t="str">
        <f t="shared" si="5"/>
        <v>SUHAINA SANOFAR.M</v>
      </c>
    </row>
    <row r="6" spans="1:8" x14ac:dyDescent="0.35">
      <c r="A6" s="3" t="s">
        <v>6</v>
      </c>
      <c r="B6" s="3" t="s">
        <v>15</v>
      </c>
      <c r="C6" s="3" t="str">
        <f t="shared" si="0"/>
        <v>K</v>
      </c>
      <c r="D6" s="3">
        <f t="shared" si="1"/>
        <v>6</v>
      </c>
      <c r="E6" s="3" t="str">
        <f t="shared" si="2"/>
        <v>VIJI</v>
      </c>
      <c r="F6" s="3" t="str">
        <f>CONCATENATE(E6,".",C6)</f>
        <v>VIJI.K</v>
      </c>
      <c r="G6" s="3" t="str">
        <f t="shared" si="4"/>
        <v>viji.k</v>
      </c>
      <c r="H6" s="3" t="str">
        <f t="shared" si="5"/>
        <v>VIJI.K</v>
      </c>
    </row>
    <row r="7" spans="1:8" x14ac:dyDescent="0.35">
      <c r="A7" s="3" t="s">
        <v>7</v>
      </c>
      <c r="B7" s="3" t="s">
        <v>16</v>
      </c>
      <c r="C7" s="3" t="str">
        <f t="shared" si="0"/>
        <v>M</v>
      </c>
      <c r="D7" s="3">
        <f t="shared" si="1"/>
        <v>11</v>
      </c>
      <c r="E7" s="3" t="str">
        <f t="shared" si="2"/>
        <v>KEERTHIKA</v>
      </c>
      <c r="F7" s="3" t="str">
        <f t="shared" si="3"/>
        <v>KEERTHIKA.M</v>
      </c>
      <c r="G7" s="3" t="str">
        <f t="shared" si="4"/>
        <v>keerthika.m</v>
      </c>
      <c r="H7" s="3" t="str">
        <f t="shared" si="5"/>
        <v>KEERTHIKA.M</v>
      </c>
    </row>
    <row r="8" spans="1:8" x14ac:dyDescent="0.35">
      <c r="A8" s="3" t="s">
        <v>8</v>
      </c>
      <c r="B8" s="3" t="s">
        <v>17</v>
      </c>
      <c r="C8" s="3" t="str">
        <f t="shared" si="0"/>
        <v>S</v>
      </c>
      <c r="D8" s="3">
        <f t="shared" si="1"/>
        <v>11</v>
      </c>
      <c r="E8" s="3" t="str">
        <f t="shared" si="2"/>
        <v>LOGANANTH</v>
      </c>
      <c r="F8" s="3" t="str">
        <f t="shared" si="3"/>
        <v>LOGANANTH.S</v>
      </c>
      <c r="G8" s="3" t="str">
        <f t="shared" si="4"/>
        <v>logananth.s</v>
      </c>
      <c r="H8" s="3" t="str">
        <f t="shared" si="5"/>
        <v>LOGANANTH.S</v>
      </c>
    </row>
    <row r="9" spans="1:8" x14ac:dyDescent="0.35">
      <c r="A9" s="3" t="s">
        <v>9</v>
      </c>
      <c r="B9" s="3" t="s">
        <v>19</v>
      </c>
      <c r="C9" s="3" t="str">
        <f t="shared" si="0"/>
        <v>S</v>
      </c>
      <c r="D9" s="3">
        <f t="shared" si="1"/>
        <v>9</v>
      </c>
      <c r="E9" s="3" t="str">
        <f t="shared" si="2"/>
        <v>SANGAVI</v>
      </c>
      <c r="F9" s="3" t="str">
        <f t="shared" si="3"/>
        <v>SANGAVI.S</v>
      </c>
      <c r="G9" s="3" t="str">
        <f t="shared" si="4"/>
        <v>sangavi.s</v>
      </c>
      <c r="H9" s="3" t="str">
        <f t="shared" si="5"/>
        <v>SANGAVI.S</v>
      </c>
    </row>
    <row r="10" spans="1:8" x14ac:dyDescent="0.35">
      <c r="A10" s="3" t="s">
        <v>10</v>
      </c>
      <c r="B10" s="3" t="s">
        <v>20</v>
      </c>
      <c r="C10" s="3" t="str">
        <f t="shared" si="0"/>
        <v>M</v>
      </c>
      <c r="D10" s="3">
        <f t="shared" si="1"/>
        <v>7</v>
      </c>
      <c r="E10" s="3" t="str">
        <f t="shared" si="2"/>
        <v>RAMYA</v>
      </c>
      <c r="F10" s="3" t="str">
        <f t="shared" si="3"/>
        <v>RAMYA.M</v>
      </c>
      <c r="G10" s="3" t="str">
        <f t="shared" si="4"/>
        <v>ramya.m</v>
      </c>
      <c r="H10" s="3" t="str">
        <f t="shared" si="5"/>
        <v>RAMYA.M</v>
      </c>
    </row>
    <row r="11" spans="1:8" x14ac:dyDescent="0.35">
      <c r="A11" s="3" t="s">
        <v>11</v>
      </c>
      <c r="B11" s="3" t="s">
        <v>21</v>
      </c>
      <c r="C11" s="3" t="str">
        <f t="shared" si="0"/>
        <v>V</v>
      </c>
      <c r="D11" s="3">
        <f t="shared" si="1"/>
        <v>9</v>
      </c>
      <c r="E11" s="3" t="str">
        <f t="shared" si="2"/>
        <v>KISHORE</v>
      </c>
      <c r="F11" s="3" t="str">
        <f t="shared" si="3"/>
        <v>KISHORE.V</v>
      </c>
      <c r="G11" s="3" t="str">
        <f t="shared" si="4"/>
        <v>kishore.v</v>
      </c>
      <c r="H11" s="3" t="str">
        <f t="shared" si="5"/>
        <v>KISHORE.V</v>
      </c>
    </row>
    <row r="12" spans="1:8" x14ac:dyDescent="0.35">
      <c r="A12" s="3" t="s">
        <v>25</v>
      </c>
      <c r="B12" s="3" t="s">
        <v>26</v>
      </c>
      <c r="C12" s="3" t="str">
        <f t="shared" si="0"/>
        <v>M</v>
      </c>
      <c r="D12" s="3">
        <f t="shared" si="1"/>
        <v>8</v>
      </c>
      <c r="E12" s="3" t="str">
        <f t="shared" si="2"/>
        <v>SANJAI</v>
      </c>
      <c r="F12" s="3" t="str">
        <f t="shared" si="3"/>
        <v>SANJAI.M</v>
      </c>
      <c r="G12" s="3" t="str">
        <f t="shared" si="4"/>
        <v>sanjai.m</v>
      </c>
      <c r="H12" s="3" t="str">
        <f t="shared" si="5"/>
        <v>SANJAI.M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D8" sqref="D8"/>
    </sheetView>
  </sheetViews>
  <sheetFormatPr defaultRowHeight="14.5" x14ac:dyDescent="0.35"/>
  <cols>
    <col min="1" max="1" width="20.7265625" style="1" bestFit="1" customWidth="1"/>
    <col min="2" max="2" width="8.7265625" style="1"/>
    <col min="3" max="3" width="9.81640625" style="1" bestFit="1" customWidth="1"/>
    <col min="4" max="4" width="14.26953125" style="1" bestFit="1" customWidth="1"/>
    <col min="5" max="5" width="19.81640625" style="1" bestFit="1" customWidth="1"/>
    <col min="6" max="16384" width="8.7265625" style="1"/>
  </cols>
  <sheetData>
    <row r="1" spans="1:5" x14ac:dyDescent="0.35">
      <c r="A1" s="9" t="s">
        <v>30</v>
      </c>
      <c r="B1" s="9" t="s">
        <v>31</v>
      </c>
      <c r="C1" s="9" t="s">
        <v>32</v>
      </c>
      <c r="D1" s="9" t="s">
        <v>33</v>
      </c>
      <c r="E1" s="9" t="s">
        <v>34</v>
      </c>
    </row>
    <row r="2" spans="1:5" x14ac:dyDescent="0.35">
      <c r="A2" s="10">
        <v>1000000000000</v>
      </c>
      <c r="B2" s="11">
        <v>2010</v>
      </c>
      <c r="C2" s="11">
        <v>72000000</v>
      </c>
      <c r="D2" s="10">
        <f>A2/C2</f>
        <v>13888.888888888889</v>
      </c>
      <c r="E2" s="12">
        <v>40179</v>
      </c>
    </row>
    <row r="3" spans="1:5" x14ac:dyDescent="0.35">
      <c r="A3" s="10">
        <v>2100000000000</v>
      </c>
      <c r="B3" s="11">
        <v>2015</v>
      </c>
      <c r="C3" s="11">
        <v>72000000</v>
      </c>
      <c r="D3" s="10">
        <f t="shared" ref="D3:D5" si="0">A3/C3</f>
        <v>29166.666666666668</v>
      </c>
      <c r="E3" s="12" t="s">
        <v>35</v>
      </c>
    </row>
    <row r="4" spans="1:5" x14ac:dyDescent="0.35">
      <c r="A4" s="10">
        <v>4800000000000</v>
      </c>
      <c r="B4" s="11">
        <v>2020</v>
      </c>
      <c r="C4" s="11">
        <v>72000000</v>
      </c>
      <c r="D4" s="10">
        <f t="shared" si="0"/>
        <v>66666.666666666672</v>
      </c>
      <c r="E4" s="12">
        <v>44084</v>
      </c>
    </row>
    <row r="5" spans="1:5" x14ac:dyDescent="0.35">
      <c r="A5" s="10">
        <v>9000000000000</v>
      </c>
      <c r="B5" s="11">
        <v>2025</v>
      </c>
      <c r="C5" s="11">
        <v>72000000</v>
      </c>
      <c r="D5" s="10">
        <f t="shared" si="0"/>
        <v>125000</v>
      </c>
      <c r="E5" s="12">
        <v>45669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E2" sqref="E2"/>
    </sheetView>
  </sheetViews>
  <sheetFormatPr defaultRowHeight="14.5" x14ac:dyDescent="0.35"/>
  <sheetData>
    <row r="1" spans="1:5" x14ac:dyDescent="0.35">
      <c r="A1" t="s">
        <v>36</v>
      </c>
      <c r="B1" t="s">
        <v>37</v>
      </c>
    </row>
    <row r="2" spans="1:5" x14ac:dyDescent="0.35">
      <c r="A2" s="5">
        <v>1</v>
      </c>
      <c r="B2" s="6">
        <v>1</v>
      </c>
      <c r="C2">
        <v>1</v>
      </c>
      <c r="D2">
        <v>5</v>
      </c>
    </row>
    <row r="3" spans="1:5" x14ac:dyDescent="0.35">
      <c r="A3" s="5">
        <v>2</v>
      </c>
      <c r="B3" s="6">
        <v>2</v>
      </c>
      <c r="C3">
        <v>3</v>
      </c>
      <c r="D3">
        <v>10</v>
      </c>
      <c r="E3" s="4"/>
    </row>
    <row r="4" spans="1:5" x14ac:dyDescent="0.35">
      <c r="A4" s="5">
        <v>3</v>
      </c>
      <c r="B4" s="6">
        <v>3</v>
      </c>
      <c r="C4">
        <v>5</v>
      </c>
      <c r="D4">
        <v>15</v>
      </c>
    </row>
    <row r="5" spans="1:5" x14ac:dyDescent="0.35">
      <c r="A5" s="5">
        <v>4</v>
      </c>
      <c r="B5" s="6">
        <v>4</v>
      </c>
      <c r="C5">
        <v>7</v>
      </c>
      <c r="D5">
        <v>20</v>
      </c>
    </row>
    <row r="6" spans="1:5" x14ac:dyDescent="0.35">
      <c r="A6" s="5">
        <v>5</v>
      </c>
      <c r="B6" s="6">
        <v>5</v>
      </c>
      <c r="C6">
        <v>9</v>
      </c>
      <c r="D6">
        <v>25</v>
      </c>
    </row>
    <row r="7" spans="1:5" x14ac:dyDescent="0.35">
      <c r="A7" s="5">
        <v>6</v>
      </c>
      <c r="B7" s="6">
        <v>6</v>
      </c>
      <c r="C7">
        <v>11</v>
      </c>
      <c r="D7">
        <v>30</v>
      </c>
    </row>
    <row r="8" spans="1:5" x14ac:dyDescent="0.35">
      <c r="A8" s="5">
        <v>7</v>
      </c>
      <c r="B8" s="6">
        <v>7</v>
      </c>
      <c r="C8">
        <v>13</v>
      </c>
      <c r="D8">
        <v>35</v>
      </c>
    </row>
    <row r="9" spans="1:5" x14ac:dyDescent="0.35">
      <c r="A9" s="5">
        <v>8</v>
      </c>
      <c r="B9" s="6">
        <v>8</v>
      </c>
      <c r="C9">
        <v>15</v>
      </c>
      <c r="D9">
        <v>40</v>
      </c>
    </row>
    <row r="10" spans="1:5" x14ac:dyDescent="0.35">
      <c r="A10" s="5">
        <v>9</v>
      </c>
      <c r="B10" s="6">
        <v>9</v>
      </c>
      <c r="C10">
        <v>17</v>
      </c>
      <c r="D10">
        <v>45</v>
      </c>
    </row>
    <row r="11" spans="1:5" x14ac:dyDescent="0.35">
      <c r="A11" s="5">
        <v>10</v>
      </c>
      <c r="B11" s="6">
        <v>10</v>
      </c>
      <c r="C11">
        <v>19</v>
      </c>
      <c r="D11">
        <v>50</v>
      </c>
    </row>
    <row r="12" spans="1:5" x14ac:dyDescent="0.35">
      <c r="A12" s="5">
        <v>11</v>
      </c>
      <c r="B12" s="6">
        <v>11</v>
      </c>
      <c r="C12">
        <v>21</v>
      </c>
      <c r="D12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>
      <selection activeCell="H3" sqref="H3"/>
    </sheetView>
  </sheetViews>
  <sheetFormatPr defaultRowHeight="14.5" x14ac:dyDescent="0.35"/>
  <cols>
    <col min="1" max="1" width="7.6328125" style="1" bestFit="1" customWidth="1"/>
    <col min="2" max="2" width="19.1796875" style="1" bestFit="1" customWidth="1"/>
    <col min="3" max="3" width="19.26953125" style="1" bestFit="1" customWidth="1"/>
    <col min="4" max="4" width="20.81640625" style="1" bestFit="1" customWidth="1"/>
    <col min="5" max="5" width="20.81640625" style="1" customWidth="1"/>
    <col min="6" max="6" width="21.36328125" style="1" bestFit="1" customWidth="1"/>
    <col min="7" max="7" width="25" style="1" bestFit="1" customWidth="1"/>
    <col min="8" max="8" width="16.7265625" style="1" bestFit="1" customWidth="1"/>
    <col min="9" max="16384" width="8.7265625" style="1"/>
  </cols>
  <sheetData>
    <row r="1" spans="1:8" x14ac:dyDescent="0.35">
      <c r="A1" s="8" t="s">
        <v>1</v>
      </c>
      <c r="B1" s="8" t="s">
        <v>0</v>
      </c>
      <c r="C1" s="8" t="s">
        <v>51</v>
      </c>
      <c r="D1" s="8" t="s">
        <v>49</v>
      </c>
      <c r="E1" s="8" t="s">
        <v>22</v>
      </c>
      <c r="F1" s="8" t="s">
        <v>24</v>
      </c>
      <c r="G1" s="8" t="s">
        <v>50</v>
      </c>
      <c r="H1" s="8" t="s">
        <v>52</v>
      </c>
    </row>
    <row r="2" spans="1:8" x14ac:dyDescent="0.35">
      <c r="A2" s="7" t="s">
        <v>2</v>
      </c>
      <c r="B2" s="7" t="s">
        <v>38</v>
      </c>
      <c r="C2" s="7" t="str">
        <f>TRIM(B2)</f>
        <v>M.S.SREESHA</v>
      </c>
      <c r="D2" s="7">
        <f t="shared" ref="D2:D12" si="0">IFERROR(SEARCH(".",B2,4),2)</f>
        <v>4</v>
      </c>
      <c r="E2" s="7" t="str">
        <f>LEFT(C2,D2-1)</f>
        <v>M.S</v>
      </c>
      <c r="F2" s="7" t="str">
        <f>RIGHT(C2,LEN(C2)-D2)</f>
        <v>SREESHA</v>
      </c>
      <c r="G2" s="7" t="str">
        <f t="shared" ref="G2:G12" si="1">CONCATENATE(F2,".",E2)</f>
        <v>SREESHA.M.S</v>
      </c>
      <c r="H2" s="7" t="str">
        <f>PROPER(G2)</f>
        <v>Sreesha.M.S</v>
      </c>
    </row>
    <row r="3" spans="1:8" x14ac:dyDescent="0.35">
      <c r="A3" s="7" t="s">
        <v>3</v>
      </c>
      <c r="B3" s="7" t="s">
        <v>41</v>
      </c>
      <c r="C3" s="7" t="str">
        <f t="shared" ref="C3:C12" si="2">TRIM(B3)</f>
        <v>K.DHANUSREE</v>
      </c>
      <c r="D3" s="7">
        <f t="shared" si="0"/>
        <v>2</v>
      </c>
      <c r="E3" s="7" t="str">
        <f t="shared" ref="E3:E12" si="3">LEFT(C3,D3-1)</f>
        <v>K</v>
      </c>
      <c r="F3" s="7" t="str">
        <f t="shared" ref="F3:F12" si="4">RIGHT(C3,LEN(C3)-D3)</f>
        <v>DHANUSREE</v>
      </c>
      <c r="G3" s="7" t="str">
        <f t="shared" si="1"/>
        <v>DHANUSREE.K</v>
      </c>
      <c r="H3" s="7" t="str">
        <f t="shared" ref="H3:H12" si="5">PROPER(G3)</f>
        <v>Dhanusree.K</v>
      </c>
    </row>
    <row r="4" spans="1:8" x14ac:dyDescent="0.35">
      <c r="A4" s="7" t="s">
        <v>4</v>
      </c>
      <c r="B4" s="7" t="s">
        <v>39</v>
      </c>
      <c r="C4" s="7" t="str">
        <f t="shared" si="2"/>
        <v>S.S.RAKSANA</v>
      </c>
      <c r="D4" s="7">
        <f t="shared" si="0"/>
        <v>4</v>
      </c>
      <c r="E4" s="7" t="str">
        <f t="shared" si="3"/>
        <v>S.S</v>
      </c>
      <c r="F4" s="7" t="str">
        <f t="shared" si="4"/>
        <v>RAKSANA</v>
      </c>
      <c r="G4" s="7" t="str">
        <f t="shared" si="1"/>
        <v>RAKSANA.S.S</v>
      </c>
      <c r="H4" s="7" t="str">
        <f t="shared" si="5"/>
        <v>Raksana.S.S</v>
      </c>
    </row>
    <row r="5" spans="1:8" x14ac:dyDescent="0.35">
      <c r="A5" s="7" t="s">
        <v>5</v>
      </c>
      <c r="B5" s="7" t="s">
        <v>42</v>
      </c>
      <c r="C5" s="7" t="str">
        <f t="shared" si="2"/>
        <v>M.SUHAINA SANOFAR</v>
      </c>
      <c r="D5" s="7">
        <f t="shared" si="0"/>
        <v>2</v>
      </c>
      <c r="E5" s="7" t="str">
        <f t="shared" si="3"/>
        <v>M</v>
      </c>
      <c r="F5" s="7" t="str">
        <f t="shared" si="4"/>
        <v>SUHAINA SANOFAR</v>
      </c>
      <c r="G5" s="7" t="str">
        <f t="shared" si="1"/>
        <v>SUHAINA SANOFAR.M</v>
      </c>
      <c r="H5" s="7" t="str">
        <f t="shared" si="5"/>
        <v>Suhaina Sanofar.M</v>
      </c>
    </row>
    <row r="6" spans="1:8" x14ac:dyDescent="0.35">
      <c r="A6" s="7" t="s">
        <v>6</v>
      </c>
      <c r="B6" s="7" t="s">
        <v>43</v>
      </c>
      <c r="C6" s="7" t="str">
        <f t="shared" si="2"/>
        <v>K.VIJI</v>
      </c>
      <c r="D6" s="7">
        <f t="shared" si="0"/>
        <v>2</v>
      </c>
      <c r="E6" s="7" t="str">
        <f t="shared" si="3"/>
        <v>K</v>
      </c>
      <c r="F6" s="7" t="str">
        <f t="shared" si="4"/>
        <v>VIJI</v>
      </c>
      <c r="G6" s="7" t="str">
        <f t="shared" si="1"/>
        <v>VIJI.K</v>
      </c>
      <c r="H6" s="7" t="str">
        <f t="shared" si="5"/>
        <v>Viji.K</v>
      </c>
    </row>
    <row r="7" spans="1:8" x14ac:dyDescent="0.35">
      <c r="A7" s="7" t="s">
        <v>7</v>
      </c>
      <c r="B7" s="7" t="s">
        <v>44</v>
      </c>
      <c r="C7" s="7" t="str">
        <f t="shared" si="2"/>
        <v>M.KEERTHIKA</v>
      </c>
      <c r="D7" s="7">
        <f t="shared" si="0"/>
        <v>2</v>
      </c>
      <c r="E7" s="7" t="str">
        <f t="shared" si="3"/>
        <v>M</v>
      </c>
      <c r="F7" s="7" t="str">
        <f t="shared" si="4"/>
        <v>KEERTHIKA</v>
      </c>
      <c r="G7" s="7" t="str">
        <f t="shared" si="1"/>
        <v>KEERTHIKA.M</v>
      </c>
      <c r="H7" s="7" t="str">
        <f t="shared" si="5"/>
        <v>Keerthika.M</v>
      </c>
    </row>
    <row r="8" spans="1:8" x14ac:dyDescent="0.35">
      <c r="A8" s="7" t="s">
        <v>8</v>
      </c>
      <c r="B8" s="7" t="s">
        <v>45</v>
      </c>
      <c r="C8" s="7" t="str">
        <f t="shared" si="2"/>
        <v>S.LOGANANTH</v>
      </c>
      <c r="D8" s="7">
        <f t="shared" si="0"/>
        <v>2</v>
      </c>
      <c r="E8" s="7" t="str">
        <f t="shared" si="3"/>
        <v>S</v>
      </c>
      <c r="F8" s="7" t="str">
        <f t="shared" si="4"/>
        <v>LOGANANTH</v>
      </c>
      <c r="G8" s="7" t="str">
        <f t="shared" si="1"/>
        <v>LOGANANTH.S</v>
      </c>
      <c r="H8" s="7" t="str">
        <f t="shared" si="5"/>
        <v>Logananth.S</v>
      </c>
    </row>
    <row r="9" spans="1:8" x14ac:dyDescent="0.35">
      <c r="A9" s="7" t="s">
        <v>9</v>
      </c>
      <c r="B9" s="7" t="s">
        <v>46</v>
      </c>
      <c r="C9" s="7" t="str">
        <f t="shared" si="2"/>
        <v>S.SANGAVI</v>
      </c>
      <c r="D9" s="7">
        <f t="shared" si="0"/>
        <v>2</v>
      </c>
      <c r="E9" s="7" t="str">
        <f t="shared" si="3"/>
        <v>S</v>
      </c>
      <c r="F9" s="7" t="str">
        <f t="shared" si="4"/>
        <v>SANGAVI</v>
      </c>
      <c r="G9" s="7" t="str">
        <f t="shared" si="1"/>
        <v>SANGAVI.S</v>
      </c>
      <c r="H9" s="7" t="str">
        <f t="shared" si="5"/>
        <v>Sangavi.S</v>
      </c>
    </row>
    <row r="10" spans="1:8" x14ac:dyDescent="0.35">
      <c r="A10" s="7" t="s">
        <v>10</v>
      </c>
      <c r="B10" s="7" t="s">
        <v>47</v>
      </c>
      <c r="C10" s="7" t="str">
        <f t="shared" si="2"/>
        <v>M.RAMYA</v>
      </c>
      <c r="D10" s="7">
        <f t="shared" si="0"/>
        <v>2</v>
      </c>
      <c r="E10" s="7" t="str">
        <f t="shared" si="3"/>
        <v>M</v>
      </c>
      <c r="F10" s="7" t="str">
        <f t="shared" si="4"/>
        <v>RAMYA</v>
      </c>
      <c r="G10" s="7" t="str">
        <f t="shared" si="1"/>
        <v>RAMYA.M</v>
      </c>
      <c r="H10" s="7" t="str">
        <f t="shared" si="5"/>
        <v>Ramya.M</v>
      </c>
    </row>
    <row r="11" spans="1:8" x14ac:dyDescent="0.35">
      <c r="A11" s="7" t="s">
        <v>11</v>
      </c>
      <c r="B11" s="7" t="s">
        <v>40</v>
      </c>
      <c r="C11" s="7" t="str">
        <f t="shared" si="2"/>
        <v>V.D.KISHORE</v>
      </c>
      <c r="D11" s="7">
        <f t="shared" si="0"/>
        <v>4</v>
      </c>
      <c r="E11" s="7" t="str">
        <f t="shared" si="3"/>
        <v>V.D</v>
      </c>
      <c r="F11" s="7" t="str">
        <f t="shared" si="4"/>
        <v>KISHORE</v>
      </c>
      <c r="G11" s="7" t="str">
        <f t="shared" si="1"/>
        <v>KISHORE.V.D</v>
      </c>
      <c r="H11" s="7" t="str">
        <f t="shared" si="5"/>
        <v>Kishore.V.D</v>
      </c>
    </row>
    <row r="12" spans="1:8" x14ac:dyDescent="0.35">
      <c r="A12" s="7" t="s">
        <v>25</v>
      </c>
      <c r="B12" s="7" t="s">
        <v>48</v>
      </c>
      <c r="C12" s="7" t="str">
        <f t="shared" si="2"/>
        <v>M.SANJAI</v>
      </c>
      <c r="D12" s="7">
        <f t="shared" si="0"/>
        <v>2</v>
      </c>
      <c r="E12" s="7" t="str">
        <f t="shared" si="3"/>
        <v>M</v>
      </c>
      <c r="F12" s="7" t="str">
        <f t="shared" si="4"/>
        <v>SANJAI</v>
      </c>
      <c r="G12" s="7" t="str">
        <f t="shared" si="1"/>
        <v>SANJAI.M</v>
      </c>
      <c r="H12" s="7" t="str">
        <f t="shared" si="5"/>
        <v>Sanjai.M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2025-12-08T09:46:47Z</dcterms:created>
  <dcterms:modified xsi:type="dcterms:W3CDTF">2025-12-13T09:43:23Z</dcterms:modified>
</cp:coreProperties>
</file>